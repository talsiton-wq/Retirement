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כנון פרישה" sheetId="1" r:id="rId5"/>
    <sheet state="visible" name="תכנון פרישה (מינימום FU money)" sheetId="2" r:id="rId6"/>
    <sheet state="visible" name="תכנון פרישה (מקסימום תשואה)" sheetId="3" r:id="rId7"/>
    <sheet state="visible" name="תכנון פרישה (מינימום תשואה)" sheetId="4" r:id="rId8"/>
    <sheet state="visible" name="Sheet2" sheetId="5" r:id="rId9"/>
  </sheets>
  <definedNames>
    <definedName localSheetId="2" name="השכר_הסוציאלי_2023">'תכנון פרישה (מקסימום תשואה)'!$B$13</definedName>
    <definedName localSheetId="0" name="שנות_עבודה_שנותרו">'תכנון פרישה'!$B$2</definedName>
    <definedName localSheetId="3" name="השכר_הסוציאלי_2023">'תכנון פרישה (מינימום תשואה)'!$B$13</definedName>
    <definedName localSheetId="1" name="קרן_פנסיה">'תכנון פרישה (מינימום FU money)'!$B$7</definedName>
    <definedName localSheetId="1" name="גיל_הפנסיה">'תכנון פרישה (מינימום FU money)'!$E$4</definedName>
    <definedName localSheetId="3" name="הגיל_שלנו_2023">'תכנון פרישה (מינימום תשואה)'!$B$14</definedName>
    <definedName localSheetId="2" name="שיעור_משיכה_בטוח">'תכנון פרישה (מקסימום תשואה)'!$B$15</definedName>
    <definedName localSheetId="3" name="קרן_פנסיה">'תכנון פרישה (מינימום תשואה)'!$B$7</definedName>
    <definedName localSheetId="3" name="תשואה_ריאלית">'תכנון פרישה (מינימום תשואה)'!$B$4</definedName>
    <definedName localSheetId="1" name="שנות_עבודה_שנותרו">'תכנון פרישה (מינימום FU money)'!$B$2</definedName>
    <definedName localSheetId="1" name="קופת_גמל">'תכנון פרישה (מינימום FU money)'!$B$8</definedName>
    <definedName localSheetId="2" name="הגיל_שלנו_2023">'תכנון פרישה (מקסימום תשואה)'!$B$14</definedName>
    <definedName localSheetId="2" name="קופת_גמל">'תכנון פרישה (מקסימום תשואה)'!$B$8</definedName>
    <definedName localSheetId="3" name="קופת_גמל">'תכנון פרישה (מינימום תשואה)'!$B$8</definedName>
    <definedName localSheetId="3" name="שנות_עבודה_שנותרו">'תכנון פרישה (מינימום תשואה)'!$B$2</definedName>
    <definedName name="קרן_פנסיה">'תכנון פרישה'!$B$7</definedName>
    <definedName localSheetId="0" name="תשואה_ריאלית">'תכנון פרישה'!$B$4</definedName>
    <definedName localSheetId="3" name="חסכון_נוכחי_2023">'תכנון פרישה (מינימום תשואה)'!$B$5</definedName>
    <definedName localSheetId="3" name="שיעור_משיכה_בטוח">'תכנון פרישה (מינימום תשואה)'!$B$15</definedName>
    <definedName localSheetId="2" name="תקרת_הפקדה_לפנסיה_בשנת_2023">'תכנון פרישה (מקסימום תשואה)'!$K$4</definedName>
    <definedName localSheetId="1" name="חסכון_נוכחי_2023">'תכנון פרישה (מינימום FU money)'!$B$5</definedName>
    <definedName localSheetId="2" name="שנות_עבודה_שנותרו">'תכנון פרישה (מקסימום תשואה)'!$B$2</definedName>
    <definedName localSheetId="3" name="תקרת_הפקדה_לפנסיה_בשנת_2023">'תכנון פרישה (מינימום תשואה)'!$K$4</definedName>
    <definedName localSheetId="0" name="הגיל_שלנו_2023">'תכנון פרישה'!$B$14</definedName>
    <definedName localSheetId="2" name="חסכון_נוכחי_2023">'תכנון פרישה (מקסימום תשואה)'!$B$5</definedName>
    <definedName name="שיעור_משיכה_בטוח">'תכנון פרישה'!$B$15</definedName>
    <definedName localSheetId="1" name="הגיל_שלנו_2023">'תכנון פרישה (מינימום FU money)'!$B$14</definedName>
    <definedName localSheetId="0" name="השכר_הסוציאלי_2023">'תכנון פרישה'!$B$13</definedName>
    <definedName localSheetId="0" name="גיל_הפנסיה">'תכנון פרישה'!$E$4</definedName>
    <definedName localSheetId="3" name="גיל_הפנסיה">'תכנון פרישה (מינימום תשואה)'!$E$4</definedName>
    <definedName localSheetId="1" name="תקרת_הפקדה_לפנסיה_בשנת_2023">'תכנון פרישה (מינימום FU money)'!$K$4</definedName>
    <definedName localSheetId="1" name="השכר_הסוציאלי_2023">'תכנון פרישה (מינימום FU money)'!$B$13</definedName>
    <definedName localSheetId="0" name="תקרת_הפקדה_לפנסיה_בשנת_2023">'תכנון פרישה'!$K$4</definedName>
    <definedName name="קופת_גמל">'תכנון פרישה'!$B$8</definedName>
    <definedName localSheetId="1" name="תשואה_ריאלית">'תכנון פרישה (מינימום FU money)'!$B$4</definedName>
    <definedName localSheetId="2" name="גיל_הפנסיה">'תכנון פרישה (מקסימום תשואה)'!$E$4</definedName>
    <definedName localSheetId="0" name="חסכון_נוכחי_2023">'תכנון פרישה'!$B$5</definedName>
    <definedName localSheetId="2" name="תשואה_ריאלית">'תכנון פרישה (מקסימום תשואה)'!$B$4</definedName>
    <definedName localSheetId="1" name="שיעור_משיכה_בטוח">'תכנון פרישה (מינימום FU money)'!$B$15</definedName>
    <definedName localSheetId="2" name="קרן_פנסיה">'תכנון פרישה (מקסימום תשואה)'!$B$7</definedName>
  </definedNames>
  <calcPr/>
</workbook>
</file>

<file path=xl/sharedStrings.xml><?xml version="1.0" encoding="utf-8"?>
<sst xmlns="http://schemas.openxmlformats.org/spreadsheetml/2006/main" count="219" uniqueCount="52">
  <si>
    <t xml:space="preserve"> </t>
  </si>
  <si>
    <t>מהפרישה המוקדמת ועד גיל הפרישה (הפנסיה)</t>
  </si>
  <si>
    <t>בפנסיה</t>
  </si>
  <si>
    <t>שנות עבודה עד הפרישה</t>
  </si>
  <si>
    <r>
      <rPr>
        <rFont val="Calibri"/>
        <color theme="1"/>
        <sz val="11.0"/>
      </rPr>
      <t xml:space="preserve">הכנסה חודשית </t>
    </r>
    <r>
      <rPr>
        <rFont val="Calibri"/>
        <b/>
        <color theme="1"/>
        <sz val="13.0"/>
      </rPr>
      <t xml:space="preserve">ברוטו </t>
    </r>
    <r>
      <rPr>
        <rFont val="Calibri"/>
        <color theme="1"/>
        <sz val="11.0"/>
      </rPr>
      <t>מפרישה ועד גיל פנסיה (לרמת החיים שהתרגלנו)</t>
    </r>
  </si>
  <si>
    <t>חיסכון חודשי בעת העבודה</t>
  </si>
  <si>
    <t>מצב בעת הפרישה</t>
  </si>
  <si>
    <t>מצב בעת היציאה לפנסיה</t>
  </si>
  <si>
    <t>קופות גמל</t>
  </si>
  <si>
    <t>תשואה ריאלית על השקעות ונכסים</t>
  </si>
  <si>
    <t>גיל  למשיכת כספים סוציאליים (לפחות 60)</t>
  </si>
  <si>
    <t>קרנות פנסיה</t>
  </si>
  <si>
    <t>קרנות השתלמות</t>
  </si>
  <si>
    <t>קרן השתלמות</t>
  </si>
  <si>
    <t>הון עצמי מושקע</t>
  </si>
  <si>
    <r>
      <rPr>
        <rFont val="Calibri"/>
        <color theme="1"/>
        <sz val="11.0"/>
      </rPr>
      <t xml:space="preserve">פנסיה </t>
    </r>
    <r>
      <rPr>
        <rFont val="Calibri"/>
        <b/>
        <color theme="1"/>
        <sz val="12.0"/>
      </rPr>
      <t>ברוטו</t>
    </r>
  </si>
  <si>
    <t>קופת גמל \ ביטוחי מנהלים</t>
  </si>
  <si>
    <t>הון עצמי לשימושנו</t>
  </si>
  <si>
    <t>ריבית משכנתא ממוצעת</t>
  </si>
  <si>
    <t>מחושב</t>
  </si>
  <si>
    <t>באחוזים מהשכר</t>
  </si>
  <si>
    <t>למשך תקופה של</t>
  </si>
  <si>
    <t>שנים</t>
  </si>
  <si>
    <t>יתרת משכנתא</t>
  </si>
  <si>
    <t>תשלום חודשי לבית</t>
  </si>
  <si>
    <t>בשיעור משיכה של</t>
  </si>
  <si>
    <t>בשנה</t>
  </si>
  <si>
    <t>סכום שיידרש בגיל הפרישה (כילוי מלא ללא השקעה)</t>
  </si>
  <si>
    <t>תשלום חודשי להשקעות</t>
  </si>
  <si>
    <t>סכום שיידרש בגיל הפרישה (ללא כילוי)</t>
  </si>
  <si>
    <t>השכר הסוציאלי (ברוטו) למשק בית בממוצע לשנים האלו</t>
  </si>
  <si>
    <t>הגיל היום</t>
  </si>
  <si>
    <r>
      <rPr>
        <rFont val="Calibri"/>
        <color theme="1"/>
        <sz val="11.0"/>
      </rPr>
      <t xml:space="preserve">אז כמה </t>
    </r>
    <r>
      <rPr>
        <rFont val="Calibri"/>
        <b/>
        <color theme="1"/>
        <sz val="13.0"/>
      </rPr>
      <t xml:space="preserve">נטו </t>
    </r>
    <r>
      <rPr>
        <rFont val="Calibri"/>
        <color theme="1"/>
        <sz val="11.0"/>
      </rPr>
      <t xml:space="preserve">צריך </t>
    </r>
    <r>
      <rPr>
        <rFont val="Calibri"/>
        <b/>
        <color theme="1"/>
        <sz val="12.0"/>
      </rPr>
      <t>בחודש</t>
    </r>
    <r>
      <rPr>
        <rFont val="Calibri"/>
        <color theme="1"/>
        <sz val="11.0"/>
      </rPr>
      <t xml:space="preserve"> בשביל זה (כולל קה"ש ופנסיה)?</t>
    </r>
  </si>
  <si>
    <t>שיעור המשיכה הבטוח</t>
  </si>
  <si>
    <t>שכר  בסיס נטו</t>
  </si>
  <si>
    <t>קרן השתלמות ופנסיה</t>
  </si>
  <si>
    <t>מניות ובונוסים נטו</t>
  </si>
  <si>
    <t>ברוטו בדולרים בשנה זה</t>
  </si>
  <si>
    <t xml:space="preserve">הטבלה הזו - מראה טריידאוף בין עוצמת החיסכון לעוצמת התשואה (הריאלית) </t>
  </si>
  <si>
    <t>חסכון /  תשואה</t>
  </si>
  <si>
    <t>כמה נמשוך רק מהתשואה בגיל פרישה</t>
  </si>
  <si>
    <r>
      <rPr>
        <rFont val="Calibri"/>
        <color theme="1"/>
        <sz val="11.0"/>
      </rPr>
      <t xml:space="preserve">הכנסה חודשית </t>
    </r>
    <r>
      <rPr>
        <rFont val="Calibri"/>
        <b/>
        <color theme="1"/>
        <sz val="13.0"/>
      </rPr>
      <t xml:space="preserve">ברוטו </t>
    </r>
    <r>
      <rPr>
        <rFont val="Calibri"/>
        <color theme="1"/>
        <sz val="11.0"/>
      </rPr>
      <t>מפרישה ועד גיל פנסיה (לרמת החיים שהתרגלנו)</t>
    </r>
  </si>
  <si>
    <r>
      <rPr>
        <rFont val="Calibri"/>
        <color theme="1"/>
        <sz val="11.0"/>
      </rPr>
      <t xml:space="preserve">פנסיה </t>
    </r>
    <r>
      <rPr>
        <rFont val="Calibri"/>
        <b/>
        <color theme="1"/>
        <sz val="12.0"/>
      </rPr>
      <t>ברוטו</t>
    </r>
  </si>
  <si>
    <r>
      <rPr>
        <rFont val="Calibri"/>
        <color theme="1"/>
        <sz val="11.0"/>
      </rPr>
      <t xml:space="preserve">אז כמה </t>
    </r>
    <r>
      <rPr>
        <rFont val="Calibri"/>
        <b/>
        <color theme="1"/>
        <sz val="13.0"/>
      </rPr>
      <t xml:space="preserve">נטו </t>
    </r>
    <r>
      <rPr>
        <rFont val="Calibri"/>
        <color theme="1"/>
        <sz val="11.0"/>
      </rPr>
      <t xml:space="preserve">צריך </t>
    </r>
    <r>
      <rPr>
        <rFont val="Calibri"/>
        <b/>
        <color theme="1"/>
        <sz val="12.0"/>
      </rPr>
      <t>בחודש</t>
    </r>
    <r>
      <rPr>
        <rFont val="Calibri"/>
        <color theme="1"/>
        <sz val="11.0"/>
      </rPr>
      <t xml:space="preserve"> בשביל זה (כולל קה"ש ופנסיה)?</t>
    </r>
  </si>
  <si>
    <r>
      <rPr>
        <rFont val="Calibri"/>
        <color theme="1"/>
        <sz val="11.0"/>
      </rPr>
      <t xml:space="preserve">הכנסה חודשית </t>
    </r>
    <r>
      <rPr>
        <rFont val="Calibri"/>
        <b/>
        <color theme="1"/>
        <sz val="13.0"/>
      </rPr>
      <t xml:space="preserve">ברוטו </t>
    </r>
    <r>
      <rPr>
        <rFont val="Calibri"/>
        <color theme="1"/>
        <sz val="11.0"/>
      </rPr>
      <t>מפרישה ועד גיל פנסיה (לרמת החיים שהתרגלנו)</t>
    </r>
  </si>
  <si>
    <r>
      <rPr>
        <rFont val="Calibri"/>
        <color theme="1"/>
        <sz val="11.0"/>
      </rPr>
      <t xml:space="preserve">פנסיה </t>
    </r>
    <r>
      <rPr>
        <rFont val="Calibri"/>
        <b/>
        <color theme="1"/>
        <sz val="12.0"/>
      </rPr>
      <t>ברוטו</t>
    </r>
  </si>
  <si>
    <r>
      <rPr>
        <rFont val="Calibri"/>
        <color theme="1"/>
        <sz val="11.0"/>
      </rPr>
      <t xml:space="preserve">אז כמה </t>
    </r>
    <r>
      <rPr>
        <rFont val="Calibri"/>
        <b/>
        <color theme="1"/>
        <sz val="13.0"/>
      </rPr>
      <t xml:space="preserve">נטו </t>
    </r>
    <r>
      <rPr>
        <rFont val="Calibri"/>
        <color theme="1"/>
        <sz val="11.0"/>
      </rPr>
      <t xml:space="preserve">צריך </t>
    </r>
    <r>
      <rPr>
        <rFont val="Calibri"/>
        <b/>
        <color theme="1"/>
        <sz val="12.0"/>
      </rPr>
      <t>בחודש</t>
    </r>
    <r>
      <rPr>
        <rFont val="Calibri"/>
        <color theme="1"/>
        <sz val="11.0"/>
      </rPr>
      <t xml:space="preserve"> בשביל זה (כולל קה"ש ופנסיה)?</t>
    </r>
  </si>
  <si>
    <r>
      <rPr>
        <rFont val="Calibri"/>
        <color theme="1"/>
        <sz val="11.0"/>
      </rPr>
      <t xml:space="preserve">הכנסה חודשית </t>
    </r>
    <r>
      <rPr>
        <rFont val="Calibri"/>
        <b/>
        <color theme="1"/>
        <sz val="13.0"/>
      </rPr>
      <t xml:space="preserve">ברוטו </t>
    </r>
    <r>
      <rPr>
        <rFont val="Calibri"/>
        <color theme="1"/>
        <sz val="11.0"/>
      </rPr>
      <t>מפרישה ועד גיל פנסיה (לרמת החיים שהתרגלנו)</t>
    </r>
  </si>
  <si>
    <r>
      <rPr>
        <rFont val="Calibri"/>
        <color theme="1"/>
        <sz val="11.0"/>
      </rPr>
      <t xml:space="preserve">פנסיה </t>
    </r>
    <r>
      <rPr>
        <rFont val="Calibri"/>
        <b/>
        <color theme="1"/>
        <sz val="12.0"/>
      </rPr>
      <t>ברוטו</t>
    </r>
  </si>
  <si>
    <r>
      <rPr>
        <rFont val="Calibri"/>
        <color theme="1"/>
        <sz val="11.0"/>
      </rPr>
      <t xml:space="preserve">אז כמה </t>
    </r>
    <r>
      <rPr>
        <rFont val="Calibri"/>
        <b/>
        <color theme="1"/>
        <sz val="13.0"/>
      </rPr>
      <t xml:space="preserve">נטו </t>
    </r>
    <r>
      <rPr>
        <rFont val="Calibri"/>
        <color theme="1"/>
        <sz val="11.0"/>
      </rPr>
      <t xml:space="preserve">צריך </t>
    </r>
    <r>
      <rPr>
        <rFont val="Calibri"/>
        <b/>
        <color theme="1"/>
        <sz val="12.0"/>
      </rPr>
      <t>בחודש</t>
    </r>
    <r>
      <rPr>
        <rFont val="Calibri"/>
        <color theme="1"/>
        <sz val="11.0"/>
      </rPr>
      <t xml:space="preserve"> בשביל זה (כולל קה"ש ופנסיה)?</t>
    </r>
  </si>
  <si>
    <t>השתלמות</t>
  </si>
  <si>
    <t>הון עצמי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</si>
</sst>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₪&quot;\ #,##0.00;[Red]&quot;₪&quot;\ \-#,##0.00"/>
    <numFmt numFmtId="165" formatCode="0.0%"/>
    <numFmt numFmtId="166" formatCode="&quot;₪&quot;\ #,##0;[Red]&quot;₪&quot;\ \-#,##0"/>
  </numFmts>
  <fonts count="10">
    <font>
      <sz val="10.0"/>
      <color rgb="FF000000"/>
      <name val="Arial"/>
      <scheme val="minor"/>
    </font>
    <font>
      <b/>
      <sz val="18.0"/>
      <color theme="1"/>
      <name val="Calibri"/>
    </font>
    <font>
      <sz val="11.0"/>
      <color theme="1"/>
      <name val="Calibri"/>
    </font>
    <font/>
    <font>
      <sz val="11.0"/>
      <color rgb="FF2C2F34"/>
      <name val="Arial"/>
    </font>
    <font>
      <color theme="1"/>
      <name val="Arial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>
      <b/>
      <sz val="11.0"/>
      <color rgb="FF0070C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2" fillId="0" fontId="3" numFmtId="0" xfId="0" applyBorder="1" applyFont="1"/>
    <xf borderId="0" fillId="4" fontId="2" numFmtId="0" xfId="0" applyAlignment="1" applyFill="1" applyFont="1">
      <alignment horizontal="center" readingOrder="0" vertical="center"/>
    </xf>
    <xf borderId="0" fillId="4" fontId="2" numFmtId="1" xfId="0" applyAlignment="1" applyFont="1" applyNumberFormat="1">
      <alignment horizontal="center" vertical="center"/>
    </xf>
    <xf borderId="0" fillId="4" fontId="2" numFmtId="3" xfId="0" applyAlignment="1" applyFont="1" applyNumberForma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3" fillId="0" fontId="2" numFmtId="10" xfId="0" applyAlignment="1" applyBorder="1" applyFont="1" applyNumberFormat="1">
      <alignment horizontal="center" readingOrder="0" vertical="center"/>
    </xf>
    <xf borderId="3" fillId="3" fontId="2" numFmtId="3" xfId="0" applyAlignment="1" applyBorder="1" applyFont="1" applyNumberForma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5" fontId="2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5" fontId="2" numFmtId="3" xfId="0" applyAlignment="1" applyFont="1" applyNumberFormat="1">
      <alignment horizontal="center" readingOrder="0" vertical="center"/>
    </xf>
    <xf borderId="0" fillId="6" fontId="4" numFmtId="0" xfId="0" applyFill="1" applyFont="1"/>
    <xf borderId="3" fillId="0" fontId="2" numFmtId="0" xfId="0" applyAlignment="1" applyBorder="1" applyFont="1">
      <alignment horizontal="center" readingOrder="0" vertical="center"/>
    </xf>
    <xf borderId="3" fillId="3" fontId="2" numFmtId="10" xfId="0" applyAlignment="1" applyBorder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vertical="center"/>
    </xf>
    <xf borderId="3" fillId="0" fontId="2" numFmtId="164" xfId="0" applyAlignment="1" applyBorder="1" applyFont="1" applyNumberFormat="1">
      <alignment horizontal="center" vertical="center"/>
    </xf>
    <xf borderId="3" fillId="0" fontId="2" numFmtId="10" xfId="0" applyAlignment="1" applyBorder="1" applyFont="1" applyNumberFormat="1">
      <alignment horizontal="center" vertical="center"/>
    </xf>
    <xf borderId="0" fillId="0" fontId="5" numFmtId="10" xfId="0" applyAlignment="1" applyFont="1" applyNumberFormat="1">
      <alignment horizontal="center"/>
    </xf>
    <xf borderId="3" fillId="7" fontId="2" numFmtId="3" xfId="0" applyAlignment="1" applyBorder="1" applyFill="1" applyFont="1" applyNumberFormat="1">
      <alignment horizontal="center" vertical="center"/>
    </xf>
    <xf borderId="3" fillId="7" fontId="2" numFmtId="164" xfId="0" applyAlignment="1" applyBorder="1" applyFont="1" applyNumberFormat="1">
      <alignment horizontal="center" vertical="center"/>
    </xf>
    <xf borderId="3" fillId="8" fontId="2" numFmtId="3" xfId="0" applyAlignment="1" applyBorder="1" applyFill="1" applyFont="1" applyNumberFormat="1">
      <alignment horizontal="center" readingOrder="0" vertical="center"/>
    </xf>
    <xf borderId="3" fillId="8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3" fillId="0" fontId="2" numFmtId="165" xfId="0" applyAlignment="1" applyBorder="1" applyFont="1" applyNumberFormat="1">
      <alignment horizontal="center" readingOrder="0" vertical="center"/>
    </xf>
    <xf borderId="7" fillId="9" fontId="6" numFmtId="164" xfId="0" applyAlignment="1" applyBorder="1" applyFill="1" applyFont="1" applyNumberForma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3" fillId="0" fontId="2" numFmtId="164" xfId="0" applyAlignment="1" applyBorder="1" applyFont="1" applyNumberFormat="1">
      <alignment horizontal="center" readingOrder="0" vertical="center"/>
    </xf>
    <xf borderId="3" fillId="0" fontId="2" numFmtId="3" xfId="0" applyAlignment="1" applyBorder="1" applyFont="1" applyNumberForma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10" fillId="0" fontId="7" numFmtId="9" xfId="0" applyAlignment="1" applyBorder="1" applyFont="1" applyNumberFormat="1">
      <alignment horizontal="center" readingOrder="0" vertical="center"/>
    </xf>
    <xf borderId="11" fillId="0" fontId="7" numFmtId="9" xfId="0" applyAlignment="1" applyBorder="1" applyFont="1" applyNumberFormat="1">
      <alignment horizontal="center" readingOrder="0" vertical="center"/>
    </xf>
    <xf borderId="7" fillId="0" fontId="8" numFmtId="9" xfId="0" applyAlignment="1" applyBorder="1" applyFont="1" applyNumberFormat="1">
      <alignment horizontal="center" vertical="center"/>
    </xf>
    <xf borderId="12" fillId="0" fontId="9" numFmtId="166" xfId="0" applyAlignment="1" applyBorder="1" applyFont="1" applyNumberFormat="1">
      <alignment horizontal="center" vertical="center"/>
    </xf>
    <xf borderId="13" fillId="0" fontId="2" numFmtId="9" xfId="0" applyAlignment="1" applyBorder="1" applyFont="1" applyNumberFormat="1">
      <alignment horizontal="center" readingOrder="0" vertical="center"/>
    </xf>
    <xf borderId="3" fillId="0" fontId="2" numFmtId="166" xfId="0" applyAlignment="1" applyBorder="1" applyFont="1" applyNumberFormat="1">
      <alignment horizontal="center" vertical="center"/>
    </xf>
    <xf borderId="14" fillId="0" fontId="2" numFmtId="9" xfId="0" applyAlignment="1" applyBorder="1" applyFont="1" applyNumberFormat="1">
      <alignment horizontal="center" vertical="center"/>
    </xf>
    <xf borderId="15" fillId="0" fontId="2" numFmtId="166" xfId="0" applyAlignment="1" applyBorder="1" applyFont="1" applyNumberFormat="1">
      <alignment horizontal="center" vertical="center"/>
    </xf>
    <xf borderId="7" fillId="0" fontId="8" numFmtId="9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vertical="center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6" fontId="2" numFmtId="3" xfId="0" applyAlignment="1" applyFont="1" applyNumberFormat="1">
      <alignment horizontal="center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השתלמות והון עצמי כפונקציה של הזמן</a:t>
            </a:r>
          </a:p>
        </c:rich>
      </c:tx>
      <c:layout>
        <c:manualLayout>
          <c:xMode val="edge"/>
          <c:yMode val="edge"/>
          <c:x val="0.02926267281105991"/>
          <c:y val="0.05"/>
        </c:manualLayout>
      </c:layout>
      <c:overlay val="0"/>
    </c:title>
    <c:plotArea>
      <c:layout/>
      <c:areaChart>
        <c:ser>
          <c:idx val="0"/>
          <c:order val="0"/>
          <c:tx>
            <c:strRef>
              <c:f>Sheet2!$B$2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Sheet2!$A$3:$A$18</c:f>
            </c:strRef>
          </c:cat>
          <c:val>
            <c:numRef>
              <c:f>Sheet2!$B$3:$B$18</c:f>
              <c:numCache/>
            </c:numRef>
          </c:val>
        </c:ser>
        <c:ser>
          <c:idx val="1"/>
          <c:order val="1"/>
          <c:tx>
            <c:strRef>
              <c:f>Sheet2!$C$2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Sheet2!$A$3:$A$18</c:f>
            </c:strRef>
          </c:cat>
          <c:val>
            <c:numRef>
              <c:f>Sheet2!$C$3:$C$18</c:f>
              <c:numCache/>
            </c:numRef>
          </c:val>
        </c:ser>
        <c:axId val="1509360053"/>
        <c:axId val="1247302892"/>
      </c:areaChart>
      <c:catAx>
        <c:axId val="1509360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שנים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302892"/>
      </c:catAx>
      <c:valAx>
        <c:axId val="1247302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360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השתלמות והון עצמי כפונקציה של הזמן</a:t>
            </a:r>
          </a:p>
        </c:rich>
      </c:tx>
      <c:layout>
        <c:manualLayout>
          <c:xMode val="edge"/>
          <c:yMode val="edge"/>
          <c:x val="0.02926267281105991"/>
          <c:y val="0.05"/>
        </c:manualLayout>
      </c:layout>
      <c:overlay val="0"/>
    </c:title>
    <c:plotArea>
      <c:layout/>
      <c:areaChart>
        <c:ser>
          <c:idx val="0"/>
          <c:order val="0"/>
          <c:tx>
            <c:strRef>
              <c:f>Sheet2!$B$2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Sheet2!$A$3:$A$18</c:f>
            </c:strRef>
          </c:cat>
          <c:val>
            <c:numRef>
              <c:f>Sheet2!$B$3:$B$18</c:f>
              <c:numCache/>
            </c:numRef>
          </c:val>
        </c:ser>
        <c:ser>
          <c:idx val="1"/>
          <c:order val="1"/>
          <c:tx>
            <c:strRef>
              <c:f>Sheet2!$C$2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Sheet2!$A$3:$A$18</c:f>
            </c:strRef>
          </c:cat>
          <c:val>
            <c:numRef>
              <c:f>Sheet2!$C$3:$C$18</c:f>
              <c:numCache/>
            </c:numRef>
          </c:val>
        </c:ser>
        <c:axId val="1862495651"/>
        <c:axId val="1407902114"/>
      </c:areaChart>
      <c:catAx>
        <c:axId val="1862495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שנים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902114"/>
      </c:catAx>
      <c:valAx>
        <c:axId val="1407902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4956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השתלמות והון עצמי כפונקציה של הזמן</a:t>
            </a:r>
          </a:p>
        </c:rich>
      </c:tx>
      <c:layout>
        <c:manualLayout>
          <c:xMode val="edge"/>
          <c:yMode val="edge"/>
          <c:x val="0.02926267281105991"/>
          <c:y val="0.05"/>
        </c:manualLayout>
      </c:layout>
      <c:overlay val="0"/>
    </c:title>
    <c:plotArea>
      <c:layout/>
      <c:areaChart>
        <c:ser>
          <c:idx val="0"/>
          <c:order val="0"/>
          <c:tx>
            <c:strRef>
              <c:f>Sheet2!$B$2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Sheet2!$A$3:$A$18</c:f>
            </c:strRef>
          </c:cat>
          <c:val>
            <c:numRef>
              <c:f>Sheet2!$B$3:$B$18</c:f>
              <c:numCache/>
            </c:numRef>
          </c:val>
        </c:ser>
        <c:ser>
          <c:idx val="1"/>
          <c:order val="1"/>
          <c:tx>
            <c:strRef>
              <c:f>Sheet2!$C$2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Sheet2!$A$3:$A$18</c:f>
            </c:strRef>
          </c:cat>
          <c:val>
            <c:numRef>
              <c:f>Sheet2!$C$3:$C$18</c:f>
              <c:numCache/>
            </c:numRef>
          </c:val>
        </c:ser>
        <c:axId val="335588864"/>
        <c:axId val="397060155"/>
      </c:areaChart>
      <c:catAx>
        <c:axId val="33558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שנים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060155"/>
      </c:catAx>
      <c:valAx>
        <c:axId val="397060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588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השתלמות והון עצמי כפונקציה של הזמן</a:t>
            </a:r>
          </a:p>
        </c:rich>
      </c:tx>
      <c:layout>
        <c:manualLayout>
          <c:xMode val="edge"/>
          <c:yMode val="edge"/>
          <c:x val="0.02926267281105991"/>
          <c:y val="0.05"/>
        </c:manualLayout>
      </c:layout>
      <c:overlay val="0"/>
    </c:title>
    <c:plotArea>
      <c:layout/>
      <c:areaChart>
        <c:ser>
          <c:idx val="0"/>
          <c:order val="0"/>
          <c:tx>
            <c:strRef>
              <c:f>Sheet2!$B$2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Sheet2!$A$3:$A$18</c:f>
            </c:strRef>
          </c:cat>
          <c:val>
            <c:numRef>
              <c:f>Sheet2!$B$3:$B$18</c:f>
              <c:numCache/>
            </c:numRef>
          </c:val>
        </c:ser>
        <c:ser>
          <c:idx val="1"/>
          <c:order val="1"/>
          <c:tx>
            <c:strRef>
              <c:f>Sheet2!$C$2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Sheet2!$A$3:$A$18</c:f>
            </c:strRef>
          </c:cat>
          <c:val>
            <c:numRef>
              <c:f>Sheet2!$C$3:$C$18</c:f>
              <c:numCache/>
            </c:numRef>
          </c:val>
        </c:ser>
        <c:axId val="861726807"/>
        <c:axId val="1505023121"/>
      </c:areaChart>
      <c:catAx>
        <c:axId val="861726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שנים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023121"/>
      </c:catAx>
      <c:valAx>
        <c:axId val="1505023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1726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השתלמות והון עצמי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Sheet2!$B$2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Sheet2!$A$3:$A$18</c:f>
            </c:strRef>
          </c:cat>
          <c:val>
            <c:numRef>
              <c:f>Sheet2!$B$3:$B$18</c:f>
              <c:numCache/>
            </c:numRef>
          </c:val>
        </c:ser>
        <c:ser>
          <c:idx val="1"/>
          <c:order val="1"/>
          <c:tx>
            <c:strRef>
              <c:f>Sheet2!$C$2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Sheet2!$A$3:$A$18</c:f>
            </c:strRef>
          </c:cat>
          <c:val>
            <c:numRef>
              <c:f>Sheet2!$C$3:$C$18</c:f>
              <c:numCache/>
            </c:numRef>
          </c:val>
        </c:ser>
        <c:axId val="1308294450"/>
        <c:axId val="45538513"/>
      </c:areaChart>
      <c:catAx>
        <c:axId val="1308294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שנים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38513"/>
      </c:catAx>
      <c:valAx>
        <c:axId val="45538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294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50</xdr:row>
      <xdr:rowOff>114300</xdr:rowOff>
    </xdr:from>
    <xdr:ext cx="6200775" cy="3819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50</xdr:row>
      <xdr:rowOff>114300</xdr:rowOff>
    </xdr:from>
    <xdr:ext cx="6200775" cy="3819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50</xdr:row>
      <xdr:rowOff>114300</xdr:rowOff>
    </xdr:from>
    <xdr:ext cx="6200775" cy="3819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50</xdr:row>
      <xdr:rowOff>114300</xdr:rowOff>
    </xdr:from>
    <xdr:ext cx="6200775" cy="3819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11</xdr:row>
      <xdr:rowOff>85725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75"/>
  <cols>
    <col customWidth="1" min="1" max="1" width="44.5"/>
    <col customWidth="1" min="2" max="3" width="12.75"/>
    <col customWidth="1" min="4" max="4" width="31.88"/>
    <col customWidth="1" min="5" max="5" width="18.75"/>
    <col customWidth="1" min="6" max="7" width="12.88"/>
    <col customWidth="1" min="8" max="8" width="9.5"/>
    <col customWidth="1" min="9" max="9" width="7.88"/>
    <col customWidth="1" min="10" max="10" width="13.38"/>
    <col customWidth="1" min="11" max="11" width="18.63"/>
    <col customWidth="1" min="12" max="12" width="13.25"/>
    <col customWidth="1" min="13" max="15" width="7.88"/>
    <col customWidth="1" min="16" max="16" width="9.5"/>
    <col customWidth="1" min="17" max="17" width="17.75"/>
    <col customWidth="1" min="18" max="19" width="7.88"/>
  </cols>
  <sheetData>
    <row r="1">
      <c r="A1" s="1" t="s">
        <v>0</v>
      </c>
      <c r="H1" s="2"/>
      <c r="I1" s="3" t="s">
        <v>1</v>
      </c>
      <c r="N1" s="2"/>
      <c r="O1" s="3" t="s">
        <v>2</v>
      </c>
      <c r="S1" s="3"/>
    </row>
    <row r="2" ht="19.5" customHeight="1">
      <c r="A2" s="4" t="s">
        <v>3</v>
      </c>
      <c r="B2" s="5">
        <v>23.0</v>
      </c>
      <c r="C2" s="6"/>
      <c r="D2" s="7" t="s">
        <v>4</v>
      </c>
      <c r="E2" s="5">
        <v>30000.0</v>
      </c>
      <c r="F2" s="6"/>
      <c r="G2" s="6"/>
      <c r="H2" s="2"/>
      <c r="I2" s="6"/>
      <c r="J2" s="6"/>
      <c r="K2" s="8" t="s">
        <v>5</v>
      </c>
      <c r="L2" s="8" t="s">
        <v>6</v>
      </c>
      <c r="M2" s="6"/>
      <c r="N2" s="2"/>
      <c r="O2" s="6"/>
      <c r="P2" s="6"/>
      <c r="Q2" s="8" t="s">
        <v>7</v>
      </c>
      <c r="R2" s="6"/>
      <c r="S2" s="6"/>
    </row>
    <row r="3" ht="23.25" customHeight="1">
      <c r="A3" s="9"/>
      <c r="B3" s="9"/>
      <c r="C3" s="6"/>
      <c r="D3" s="9"/>
      <c r="E3" s="9"/>
      <c r="F3" s="6"/>
      <c r="G3" s="6"/>
      <c r="H3" s="2"/>
      <c r="I3" s="6"/>
      <c r="J3" s="10" t="s">
        <v>8</v>
      </c>
      <c r="K3" s="11">
        <f>(8.33%+6%+6.5%)*'תכנון פרישה'!השכר_הסוציאלי_2023-'תכנון פרישה'!תקרת_הפקדה_לפנסיה_בשנת_2023</f>
        <v>4507.5</v>
      </c>
      <c r="L3" s="12">
        <f>fv($B$4,$B$2,-K3*12)+קופת_גמל*(1+$B$4)^$B$2</f>
        <v>2240974.399</v>
      </c>
      <c r="M3" s="6"/>
      <c r="N3" s="2"/>
      <c r="O3" s="6"/>
      <c r="P3" s="10" t="s">
        <v>8</v>
      </c>
      <c r="Q3" s="12">
        <f>L3*(1+'תכנון פרישה'!תשואה_ריאלית)^('תכנון פרישה'!גיל_הפנסיה-'תכנון פרישה'!שנות_עבודה_שנותרו-'תכנון פרישה'!הגיל_שלנו_2023)</f>
        <v>3650311.158</v>
      </c>
      <c r="R3" s="6"/>
      <c r="S3" s="6"/>
    </row>
    <row r="4">
      <c r="A4" s="13" t="s">
        <v>9</v>
      </c>
      <c r="B4" s="14">
        <v>0.05</v>
      </c>
      <c r="C4" s="6"/>
      <c r="D4" s="7" t="s">
        <v>10</v>
      </c>
      <c r="E4" s="5">
        <v>60.0</v>
      </c>
      <c r="F4" s="6"/>
      <c r="G4" s="6"/>
      <c r="H4" s="2"/>
      <c r="I4" s="6"/>
      <c r="J4" s="10" t="s">
        <v>11</v>
      </c>
      <c r="K4" s="11">
        <v>4866.0</v>
      </c>
      <c r="L4" s="12">
        <f>fv($B$4,$B$2,-K4*12)+קרן_פנסיה*(1+$B$4)^$B$2</f>
        <v>2879936.866</v>
      </c>
      <c r="M4" s="6"/>
      <c r="N4" s="2"/>
      <c r="O4" s="6"/>
      <c r="P4" s="10" t="s">
        <v>11</v>
      </c>
      <c r="Q4" s="12">
        <f>L4*(1+'תכנון פרישה'!תשואה_ריאלית)^('תכנון פרישה'!גיל_הפנסיה-'תכנון פרישה'!שנות_עבודה_שנותרו-'תכנון פרישה'!הגיל_שלנו_2023)</f>
        <v>4691113.687</v>
      </c>
      <c r="R4" s="6"/>
      <c r="S4" s="6"/>
    </row>
    <row r="5">
      <c r="A5" s="13" t="s">
        <v>12</v>
      </c>
      <c r="B5" s="15">
        <v>70000.0</v>
      </c>
      <c r="C5" s="6"/>
      <c r="D5" s="9"/>
      <c r="E5" s="9"/>
      <c r="F5" s="6"/>
      <c r="G5" s="6"/>
      <c r="H5" s="2"/>
      <c r="I5" s="6"/>
      <c r="J5" s="16" t="s">
        <v>13</v>
      </c>
      <c r="K5" s="17">
        <f>1571*2</f>
        <v>3142</v>
      </c>
      <c r="L5" s="18">
        <f t="shared" ref="L5:L6" si="1">fv($B$4,$B$2,-K5*12)+B5*(1+$B$4)^$B$2</f>
        <v>1777101.297</v>
      </c>
      <c r="M5" s="6"/>
      <c r="N5" s="2"/>
      <c r="O5" s="6"/>
      <c r="P5" s="8"/>
      <c r="Q5" s="19"/>
      <c r="R5" s="6"/>
      <c r="S5" s="6"/>
    </row>
    <row r="6">
      <c r="A6" s="13" t="s">
        <v>14</v>
      </c>
      <c r="B6" s="15">
        <v>100000.0</v>
      </c>
      <c r="C6" s="6"/>
      <c r="D6" s="6"/>
      <c r="E6" s="20"/>
      <c r="F6" s="20"/>
      <c r="G6" s="6"/>
      <c r="H6" s="2"/>
      <c r="I6" s="6"/>
      <c r="J6" s="16" t="s">
        <v>14</v>
      </c>
      <c r="K6" s="21">
        <f>-E12-sum(K3:K5)</f>
        <v>4562.903809</v>
      </c>
      <c r="L6" s="18">
        <f t="shared" si="1"/>
        <v>2575671.648</v>
      </c>
      <c r="M6" s="6"/>
      <c r="N6" s="2"/>
      <c r="O6" s="6"/>
      <c r="P6" s="10" t="s">
        <v>15</v>
      </c>
      <c r="Q6" s="12">
        <f>SUM(Q3:Q4)/(202+4*(67-E4))</f>
        <v>36267.06454</v>
      </c>
      <c r="R6" s="6"/>
      <c r="S6" s="6"/>
    </row>
    <row r="7">
      <c r="A7" s="13" t="s">
        <v>11</v>
      </c>
      <c r="B7" s="15">
        <v>150000.0</v>
      </c>
      <c r="C7" s="6"/>
      <c r="D7" s="6"/>
      <c r="E7" s="20"/>
      <c r="F7" s="20"/>
      <c r="G7" s="6"/>
      <c r="H7" s="2"/>
      <c r="I7" s="6"/>
      <c r="J7" s="6"/>
      <c r="K7" s="22"/>
      <c r="L7" s="6"/>
      <c r="M7" s="6"/>
      <c r="N7" s="2"/>
      <c r="O7" s="6"/>
      <c r="P7" s="6"/>
      <c r="Q7" s="6"/>
      <c r="R7" s="6"/>
      <c r="S7" s="6"/>
    </row>
    <row r="8">
      <c r="A8" s="13" t="s">
        <v>16</v>
      </c>
      <c r="B8" s="15"/>
      <c r="C8" s="6"/>
      <c r="D8" s="6"/>
      <c r="E8" s="20"/>
      <c r="F8" s="20"/>
      <c r="G8" s="6"/>
      <c r="H8" s="2"/>
      <c r="I8" s="6"/>
      <c r="J8" s="8" t="s">
        <v>17</v>
      </c>
      <c r="K8" s="18">
        <f>L5+L6</f>
        <v>4352772.945</v>
      </c>
      <c r="L8" s="6"/>
      <c r="M8" s="6"/>
      <c r="N8" s="2"/>
      <c r="O8" s="6"/>
      <c r="P8" s="6"/>
      <c r="R8" s="6"/>
      <c r="S8" s="6"/>
    </row>
    <row r="9">
      <c r="A9" s="23" t="s">
        <v>18</v>
      </c>
      <c r="B9" s="24">
        <v>0.045</v>
      </c>
      <c r="C9" s="6"/>
      <c r="D9" s="6"/>
      <c r="E9" s="20" t="s">
        <v>19</v>
      </c>
      <c r="F9" s="20" t="s">
        <v>20</v>
      </c>
      <c r="G9" s="6"/>
      <c r="H9" s="2"/>
      <c r="I9" s="6"/>
      <c r="J9" s="8" t="s">
        <v>21</v>
      </c>
      <c r="K9" s="25">
        <f>E4-B2-B14</f>
        <v>10</v>
      </c>
      <c r="L9" s="8" t="s">
        <v>22</v>
      </c>
      <c r="M9" s="6"/>
      <c r="N9" s="2"/>
      <c r="O9" s="6"/>
      <c r="P9" s="6"/>
    </row>
    <row r="10">
      <c r="A10" s="13" t="s">
        <v>23</v>
      </c>
      <c r="B10" s="15">
        <v>900000.0</v>
      </c>
      <c r="C10" s="6"/>
      <c r="D10" s="23" t="s">
        <v>24</v>
      </c>
      <c r="E10" s="26">
        <f>PMT(B9,$B$2,B10)/12</f>
        <v>-5301.186976</v>
      </c>
      <c r="F10" s="27">
        <f t="shared" ref="F10:F12" si="2">-E10/$D$15</f>
        <v>0.1012071094</v>
      </c>
      <c r="G10" s="6"/>
      <c r="H10" s="2"/>
      <c r="I10" s="6"/>
      <c r="J10" s="8" t="s">
        <v>25</v>
      </c>
      <c r="K10" s="28">
        <f>E2*12/K8</f>
        <v>0.0827058991</v>
      </c>
      <c r="L10" s="8" t="s">
        <v>26</v>
      </c>
      <c r="M10" s="6"/>
      <c r="N10" s="2"/>
      <c r="O10" s="6"/>
      <c r="P10" s="6"/>
      <c r="Q10" s="6"/>
      <c r="R10" s="6"/>
      <c r="S10" s="6"/>
    </row>
    <row r="11" hidden="1">
      <c r="A11" s="13" t="s">
        <v>27</v>
      </c>
      <c r="B11" s="29">
        <f>E2*12*('תכנון פרישה'!גיל_הפנסיה-'תכנון פרישה'!הגיל_שלנו_2023-'תכנון פרישה'!שנות_עבודה_שנותרו)</f>
        <v>3600000</v>
      </c>
      <c r="C11" s="6"/>
      <c r="D11" s="23" t="s">
        <v>28</v>
      </c>
      <c r="E11" s="30">
        <f>PMT($B$4,$B$2, ,B11-($B$5*(1+$B$4)^$B$2))/12</f>
        <v>-6808.581782</v>
      </c>
      <c r="F11" s="27">
        <f t="shared" si="2"/>
        <v>0.1299853947</v>
      </c>
      <c r="G11" s="6"/>
      <c r="H11" s="2"/>
      <c r="I11" s="6"/>
      <c r="M11" s="6"/>
      <c r="N11" s="2"/>
      <c r="O11" s="6"/>
      <c r="P11" s="6"/>
      <c r="R11" s="6"/>
      <c r="S11" s="6"/>
    </row>
    <row r="12">
      <c r="A12" s="13" t="s">
        <v>29</v>
      </c>
      <c r="B12" s="31">
        <f>E2*12/שיעור_משיכה_בטוח</f>
        <v>9473684.211</v>
      </c>
      <c r="C12" s="6"/>
      <c r="D12" s="23" t="s">
        <v>28</v>
      </c>
      <c r="E12" s="32">
        <f>PMT($B$4,$B$2, ,B12-(($B$5+$B$6+$B$7+$B$8)*(1+$B$4)^$B$2))/12</f>
        <v>-17078.40381</v>
      </c>
      <c r="F12" s="27">
        <f t="shared" si="2"/>
        <v>0.3260507299</v>
      </c>
      <c r="G12" s="6"/>
      <c r="H12" s="2"/>
      <c r="I12" s="6"/>
      <c r="J12" s="6"/>
      <c r="K12" s="6"/>
      <c r="L12" s="6"/>
      <c r="M12" s="6"/>
      <c r="N12" s="2"/>
      <c r="O12" s="6"/>
      <c r="P12" s="6"/>
      <c r="Q12" s="6"/>
      <c r="R12" s="6"/>
      <c r="S12" s="6"/>
    </row>
    <row r="13">
      <c r="A13" s="13" t="s">
        <v>30</v>
      </c>
      <c r="B13" s="15">
        <v>45000.0</v>
      </c>
      <c r="C13" s="6"/>
      <c r="D13" s="6"/>
      <c r="E13" s="33"/>
      <c r="F13" s="6"/>
      <c r="G13" s="6"/>
      <c r="H13" s="2"/>
      <c r="I13" s="6"/>
      <c r="J13" s="6"/>
      <c r="K13" s="6"/>
      <c r="L13" s="6"/>
      <c r="M13" s="6"/>
      <c r="N13" s="2"/>
      <c r="O13" s="6"/>
      <c r="P13" s="6"/>
      <c r="Q13" s="6"/>
      <c r="R13" s="6"/>
      <c r="S13" s="6"/>
    </row>
    <row r="14">
      <c r="A14" s="13" t="s">
        <v>31</v>
      </c>
      <c r="B14" s="15">
        <v>27.0</v>
      </c>
      <c r="C14" s="6"/>
      <c r="D14" s="34" t="s">
        <v>32</v>
      </c>
      <c r="E14" s="35"/>
      <c r="F14" s="36"/>
      <c r="G14" s="6"/>
      <c r="H14" s="2"/>
      <c r="I14" s="6"/>
      <c r="J14" s="6"/>
      <c r="K14" s="6"/>
      <c r="L14" s="6"/>
      <c r="M14" s="6"/>
      <c r="N14" s="2"/>
      <c r="O14" s="6"/>
      <c r="P14" s="6"/>
      <c r="Q14" s="6"/>
      <c r="R14" s="6"/>
      <c r="S14" s="6"/>
    </row>
    <row r="15">
      <c r="A15" s="13" t="s">
        <v>33</v>
      </c>
      <c r="B15" s="37">
        <v>0.038</v>
      </c>
      <c r="C15" s="6"/>
      <c r="D15" s="38">
        <f>E2-E10-E12</f>
        <v>52379.59078</v>
      </c>
      <c r="E15" s="39"/>
      <c r="F15" s="40"/>
      <c r="G15" s="6"/>
      <c r="H15" s="2"/>
      <c r="I15" s="6"/>
      <c r="J15" s="20"/>
      <c r="K15" s="6"/>
      <c r="L15" s="6"/>
      <c r="M15" s="6"/>
      <c r="N15" s="2"/>
      <c r="O15" s="6"/>
      <c r="P15" s="20"/>
      <c r="Q15" s="6"/>
      <c r="R15" s="6"/>
      <c r="S15" s="6"/>
    </row>
    <row r="16">
      <c r="A16" s="6"/>
      <c r="B16" s="6"/>
      <c r="C16" s="6"/>
      <c r="D16" s="13" t="s">
        <v>34</v>
      </c>
      <c r="E16" s="13" t="s">
        <v>35</v>
      </c>
      <c r="F16" s="41" t="s">
        <v>36</v>
      </c>
      <c r="G16" s="6"/>
      <c r="H16" s="2"/>
      <c r="I16" s="6"/>
      <c r="J16" s="20"/>
      <c r="K16" s="6"/>
      <c r="L16" s="6"/>
      <c r="M16" s="6"/>
      <c r="N16" s="2"/>
      <c r="O16" s="6"/>
      <c r="P16" s="20"/>
      <c r="Q16" s="6"/>
      <c r="R16" s="6"/>
      <c r="S16" s="6"/>
    </row>
    <row r="17">
      <c r="A17" s="6"/>
      <c r="B17" s="6"/>
      <c r="C17" s="6"/>
      <c r="D17" s="42">
        <f>55%*B13</f>
        <v>24750</v>
      </c>
      <c r="E17" s="42">
        <f>(20.833%)*B13+1571*2</f>
        <v>12516.85</v>
      </c>
      <c r="F17" s="42">
        <f>D15-D17-E17</f>
        <v>15112.74078</v>
      </c>
      <c r="G17" s="6"/>
      <c r="H17" s="2"/>
      <c r="I17" s="6"/>
      <c r="J17" s="20"/>
      <c r="K17" s="6"/>
      <c r="L17" s="6"/>
      <c r="M17" s="6"/>
      <c r="N17" s="2"/>
      <c r="O17" s="6"/>
      <c r="P17" s="20"/>
      <c r="Q17" s="6"/>
      <c r="R17" s="6"/>
      <c r="S17" s="6"/>
    </row>
    <row r="18">
      <c r="A18" s="6"/>
      <c r="B18" s="6"/>
      <c r="C18" s="6"/>
      <c r="D18" s="6"/>
      <c r="E18" s="6"/>
      <c r="F18" s="6"/>
      <c r="G18" s="6"/>
      <c r="H18" s="2"/>
      <c r="I18" s="6"/>
      <c r="J18" s="6"/>
      <c r="K18" s="6"/>
      <c r="L18" s="6"/>
      <c r="M18" s="6"/>
      <c r="N18" s="2"/>
      <c r="O18" s="6"/>
      <c r="P18" s="6"/>
      <c r="Q18" s="6"/>
      <c r="R18" s="6"/>
      <c r="S18" s="6"/>
    </row>
    <row r="19">
      <c r="A19" s="6"/>
      <c r="B19" s="6"/>
      <c r="C19" s="6"/>
      <c r="D19" s="6"/>
      <c r="E19" s="8" t="s">
        <v>37</v>
      </c>
      <c r="F19" s="42">
        <f>F17*12*2/3.7</f>
        <v>98028.58887</v>
      </c>
      <c r="G19" s="6"/>
      <c r="H19" s="2"/>
      <c r="I19" s="6"/>
      <c r="J19" s="6"/>
      <c r="K19" s="6"/>
      <c r="L19" s="6"/>
      <c r="M19" s="6"/>
      <c r="N19" s="2"/>
      <c r="O19" s="6"/>
      <c r="P19" s="6"/>
      <c r="Q19" s="6"/>
      <c r="R19" s="6"/>
      <c r="S19" s="6"/>
    </row>
    <row r="20" hidden="1">
      <c r="A20" s="43" t="s">
        <v>38</v>
      </c>
      <c r="B20" s="39"/>
      <c r="C20" s="39"/>
      <c r="D20" s="39"/>
      <c r="E20" s="39"/>
      <c r="F20" s="39"/>
      <c r="G20" s="40"/>
      <c r="H20" s="2"/>
      <c r="I20" s="6"/>
      <c r="J20" s="6"/>
      <c r="K20" s="6"/>
      <c r="L20" s="6"/>
      <c r="M20" s="6"/>
      <c r="N20" s="2"/>
      <c r="O20" s="6"/>
      <c r="P20" s="6"/>
      <c r="Q20" s="6"/>
      <c r="R20" s="6"/>
      <c r="S20" s="6"/>
    </row>
    <row r="21" hidden="1">
      <c r="A21" s="44" t="s">
        <v>39</v>
      </c>
      <c r="B21" s="45">
        <v>0.03</v>
      </c>
      <c r="C21" s="45">
        <v>0.04</v>
      </c>
      <c r="D21" s="45">
        <v>0.05</v>
      </c>
      <c r="E21" s="45">
        <v>0.06</v>
      </c>
      <c r="F21" s="45">
        <v>0.07</v>
      </c>
      <c r="G21" s="46">
        <v>0.08</v>
      </c>
      <c r="H21" s="2"/>
      <c r="I21" s="6"/>
      <c r="J21" s="6"/>
      <c r="K21" s="6"/>
      <c r="L21" s="6"/>
      <c r="M21" s="6"/>
      <c r="N21" s="2"/>
      <c r="O21" s="6"/>
      <c r="P21" s="6"/>
      <c r="Q21" s="6"/>
      <c r="R21" s="6"/>
      <c r="S21" s="6"/>
    </row>
    <row r="22" hidden="1">
      <c r="A22" s="47">
        <v>0.1</v>
      </c>
      <c r="B22" s="48">
        <f>-FV(B$21,'תכנון פרישה'!שנות_עבודה_שנותרו,$D$15*12*$A22)+('תכנון פרישה'!חסכון_נוכחי_2023*(1+B$21)^'תכנון פרישה'!שנות_עבודה_שנותרו)</f>
        <v>2177993.578</v>
      </c>
      <c r="C22" s="48">
        <f>-FV(C$21,'תכנון פרישה'!שנות_עבודה_שנותרו,$D$15*12*$A22)+('תכנון פרישה'!חסכון_נוכחי_2023*(1+C$21)^'תכנון פרישה'!שנות_עבודה_שנותרו)</f>
        <v>2474166.111</v>
      </c>
      <c r="D22" s="48">
        <f>-FV(D$21,'תכנון פרישה'!שנות_עבודה_שנותרו,$D$15*12*$A22)+('תכנון פרישה'!חסכון_נוכחי_2023*(1+D$21)^'תכנון פרישה'!שנות_עבודה_שנותרו)</f>
        <v>2819140.262</v>
      </c>
      <c r="E22" s="48">
        <f>-FV(E$21,'תכנון פרישה'!שנות_עבודה_שנותרו,$D$15*12*$A22)+('תכנון פרישה'!חסכון_נוכחי_2023*(1+E$21)^'תכנון פרישה'!שנות_עבודה_שנותרו)</f>
        <v>3221329.144</v>
      </c>
      <c r="F22" s="48">
        <f>-FV(F$21,'תכנון פרישה'!שנות_עבודה_שנותרו,$D$15*12*$A22)+('תכנון פרישה'!חסכון_נוכחי_2023*(1+F$21)^'תכנון פרישה'!שנות_עבודה_שנותרו)</f>
        <v>3690592.923</v>
      </c>
      <c r="G22" s="48">
        <f>-FV(G$21,'תכנון פרישה'!שנות_עבודה_שנותרו,$D$15*12*$A22)+('תכנון פרישה'!חסכון_נוכחי_2023*(1+G$21)^'תכנון פרישה'!שנות_עבודה_שנותרו)</f>
        <v>4238481.539</v>
      </c>
      <c r="H22" s="2"/>
      <c r="I22" s="6"/>
      <c r="J22" s="6"/>
      <c r="K22" s="6"/>
      <c r="L22" s="6"/>
      <c r="M22" s="6"/>
      <c r="N22" s="2"/>
      <c r="O22" s="6"/>
      <c r="P22" s="6"/>
      <c r="Q22" s="6"/>
      <c r="R22" s="6"/>
      <c r="S22" s="6"/>
    </row>
    <row r="23" ht="15.0" hidden="1" customHeight="1">
      <c r="A23" s="49" t="s">
        <v>40</v>
      </c>
      <c r="B23" s="50">
        <f t="shared" ref="B23:G23" si="3">B22*B$21/12</f>
        <v>5444.983944</v>
      </c>
      <c r="C23" s="50">
        <f t="shared" si="3"/>
        <v>8247.22037</v>
      </c>
      <c r="D23" s="50">
        <f t="shared" si="3"/>
        <v>11746.41776</v>
      </c>
      <c r="E23" s="50">
        <f t="shared" si="3"/>
        <v>16106.64572</v>
      </c>
      <c r="F23" s="50">
        <f t="shared" si="3"/>
        <v>21528.45871</v>
      </c>
      <c r="G23" s="50">
        <f t="shared" si="3"/>
        <v>28256.5436</v>
      </c>
      <c r="H23" s="2"/>
      <c r="I23" s="6"/>
      <c r="J23" s="6"/>
      <c r="K23" s="6"/>
      <c r="L23" s="6"/>
      <c r="M23" s="6"/>
      <c r="N23" s="2"/>
      <c r="O23" s="6"/>
      <c r="P23" s="6"/>
      <c r="Q23" s="6"/>
      <c r="R23" s="6"/>
      <c r="S23" s="6"/>
    </row>
    <row r="24" ht="15.0" hidden="1" customHeight="1">
      <c r="A24" s="51" t="str">
        <f>"כמה נמשוך כולל הקרן , מהפרישה ועד גיל "&amp;$E$4&amp;""</f>
        <v>כמה נמשוך כולל הקרן , מהפרישה ועד גיל 60</v>
      </c>
      <c r="B24" s="52">
        <f>-PMT(B$21,'תכנון פרישה'!גיל_הפנסיה-'תכנון פרישה'!הגיל_שלנו_2023-'תכנון פרישה'!שנות_עבודה_שנותרו,B22)/12</f>
        <v>21277.27421</v>
      </c>
      <c r="C24" s="52">
        <f>-PMT(C$21,'תכנון פרישה'!גיל_הפנסיה-'תכנון פרישה'!הגיל_שלנו_2023-'תכנון פרישה'!שנות_עבודה_שנותרו,C22)/12</f>
        <v>25420.18969</v>
      </c>
      <c r="D24" s="52">
        <f>-PMT(D$21,'תכנון פרישה'!גיל_הפנסיה-'תכנון פרישה'!הגיל_שלנו_2023-'תכנון פרישה'!שנות_עבודה_שנותרו,D22)/12</f>
        <v>30424.29679</v>
      </c>
      <c r="E24" s="52">
        <f>-PMT(E$21,'תכנון פרישה'!גיל_הפנסיה-'תכנון פרישה'!הגיל_שלנו_2023-'תכנון פרישה'!שנות_עבודה_שנותרו,E22)/12</f>
        <v>36472.95113</v>
      </c>
      <c r="F24" s="52">
        <f>-PMT(F$21,'תכנון פרישה'!גיל_הפנסיה-'תכנון פרישה'!הגיל_שלנו_2023-'תכנון פרישה'!שנות_עבודה_שנותרו,F22)/12</f>
        <v>43788.11699</v>
      </c>
      <c r="G24" s="52">
        <f>-PMT(G$21,'תכנון פרישה'!גיל_הפנסיה-'תכנון פרישה'!הגיל_שלנו_2023-'תכנון פרישה'!שנות_עבודה_שנותרו,G22)/12</f>
        <v>52638.22806</v>
      </c>
      <c r="H24" s="2"/>
      <c r="I24" s="6"/>
      <c r="J24" s="6"/>
      <c r="L24" s="6"/>
      <c r="M24" s="6"/>
      <c r="N24" s="2"/>
      <c r="O24" s="6"/>
      <c r="P24" s="6"/>
      <c r="Q24" s="6"/>
      <c r="R24" s="6"/>
      <c r="S24" s="6"/>
    </row>
    <row r="25" hidden="1">
      <c r="A25" s="47">
        <v>0.15</v>
      </c>
      <c r="B25" s="48">
        <f>-FV(B$21,'תכנון פרישה'!שנות_עבודה_שנותרו,$D$15*12*$A25)+('תכנון פרישה'!חסכון_נוכחי_2023*(1+B$21)^'תכנון פרישה'!שנות_עבודה_שנותרו)</f>
        <v>3197914.839</v>
      </c>
      <c r="C25" s="48">
        <f>-FV(C$21,'תכנון פרישה'!שנות_עבודה_שנותרו,$D$15*12*$A25)+('תכנון פרישה'!חסכון_נוכחי_2023*(1+C$21)^'תכנון פרישה'!שנות_עבודה_שנותרו)</f>
        <v>3624984.123</v>
      </c>
      <c r="D25" s="48">
        <f>-FV(D$21,'תכנון פרישה'!שנות_עבודה_שנותרו,$D$15*12*$A25)+('תכנון פרישה'!חסכון_נוכחי_2023*(1+D$21)^'תכנון פרישה'!שנות_עבודה_שנותרו)</f>
        <v>4121207.062</v>
      </c>
      <c r="E25" s="48">
        <f>-FV(E$21,'תכנון פרישה'!שנות_עבודה_שנותרו,$D$15*12*$A25)+('תכנון פרישה'!חסכון_נוכחי_2023*(1+E$21)^'תכנון פרישה'!שנות_עבודה_שנותרו)</f>
        <v>4698302.478</v>
      </c>
      <c r="F25" s="48">
        <f>-FV(F$21,'תכנון פרישה'!שנות_עבודה_שנותרו,$D$15*12*$A25)+('תכנון פרישה'!חסכון_נוכחי_2023*(1+F$21)^'תכנון פרישה'!שנות_עבודה_שנותרו)</f>
        <v>5369970.839</v>
      </c>
      <c r="G25" s="48">
        <f>-FV(G$21,'תכנון פרישה'!שנות_עבודה_שנותרו,$D$15*12*$A25)+('תכנון פרישה'!חסכון_נוכחי_2023*(1+G$21)^'תכנון פרישה'!שנות_עבודה_שנותרו)</f>
        <v>6152221.081</v>
      </c>
      <c r="H25" s="2"/>
      <c r="I25" s="6"/>
      <c r="J25" s="6"/>
      <c r="L25" s="6"/>
      <c r="M25" s="6"/>
      <c r="N25" s="2"/>
      <c r="O25" s="6"/>
      <c r="P25" s="6"/>
      <c r="Q25" s="6"/>
      <c r="R25" s="6"/>
      <c r="S25" s="6"/>
    </row>
    <row r="26" ht="15.0" hidden="1" customHeight="1">
      <c r="A26" s="49" t="s">
        <v>40</v>
      </c>
      <c r="B26" s="50">
        <f t="shared" ref="B26:G26" si="4">B25*B$21/12</f>
        <v>7994.787096</v>
      </c>
      <c r="C26" s="50">
        <f t="shared" si="4"/>
        <v>12083.28041</v>
      </c>
      <c r="D26" s="50">
        <f t="shared" si="4"/>
        <v>17171.69609</v>
      </c>
      <c r="E26" s="50">
        <f t="shared" si="4"/>
        <v>23491.51239</v>
      </c>
      <c r="F26" s="50">
        <f t="shared" si="4"/>
        <v>31324.82989</v>
      </c>
      <c r="G26" s="50">
        <f t="shared" si="4"/>
        <v>41014.80721</v>
      </c>
      <c r="H26" s="2"/>
      <c r="I26" s="6"/>
      <c r="J26" s="6"/>
      <c r="K26" s="6"/>
      <c r="L26" s="6"/>
      <c r="M26" s="6"/>
      <c r="N26" s="2"/>
      <c r="O26" s="6"/>
      <c r="P26" s="6"/>
      <c r="Q26" s="6"/>
      <c r="R26" s="6"/>
      <c r="S26" s="6"/>
    </row>
    <row r="27" ht="15.0" hidden="1" customHeight="1">
      <c r="A27" s="51" t="str">
        <f>"כמה נמשוך כולל הקרן , מהפרישה ועד גיל "&amp;$E$4&amp;""</f>
        <v>כמה נמשוך כולל הקרן , מהפרישה ועד גיל 60</v>
      </c>
      <c r="B27" s="52">
        <f>-PMT(B$21,'תכנון פרישה'!גיל_הפנסיה-'תכנון פרישה'!הגיל_שלנו_2023-'תכנון פרישה'!שנות_עבודה_שנותרו,B25)/12</f>
        <v>31241.09805</v>
      </c>
      <c r="C27" s="52">
        <f>-PMT(C$21,'תכנון פרישה'!גיל_הפנסיה-'תכנון פרישה'!הגיל_שלנו_2023-'תכנון פרישה'!שנות_עבודה_שנותרו,C25)/12</f>
        <v>37243.9763</v>
      </c>
      <c r="D27" s="52">
        <f>-PMT(D$21,'תכנון פרישה'!גיל_הפנסיה-'תכנון פרישה'!הגיל_שלנו_2023-'תכנון פרישה'!שנות_עבודה_שנותרו,D25)/12</f>
        <v>44476.26407</v>
      </c>
      <c r="E27" s="52">
        <f>-PMT(E$21,'תכנון פרישה'!גיל_הפנסיה-'תכנון פרישה'!הגיל_שלנו_2023-'תכנון פרישה'!שנות_עבודה_שנותרו,E25)/12</f>
        <v>53195.7304</v>
      </c>
      <c r="F27" s="52">
        <f>-PMT(F$21,'תכנון פרישה'!גיל_הפנסיה-'תכנון פרישה'!הגיל_שלנו_2023-'תכנון פרישה'!שנות_עבודה_שנותרו,F25)/12</f>
        <v>63713.58648</v>
      </c>
      <c r="G27" s="52">
        <f>-PMT(G$21,'תכנון פרישה'!גיל_הפנסיה-'תכנון פרישה'!הגיל_שלנו_2023-'תכנון פרישה'!שנות_עבודה_שנותרו,G25)/12</f>
        <v>76405.19684</v>
      </c>
      <c r="H27" s="2"/>
      <c r="I27" s="6"/>
      <c r="J27" s="6"/>
      <c r="K27" s="6"/>
      <c r="L27" s="6"/>
      <c r="M27" s="6"/>
      <c r="N27" s="2"/>
      <c r="O27" s="6"/>
      <c r="P27" s="6"/>
      <c r="Q27" s="6"/>
      <c r="R27" s="6"/>
      <c r="S27" s="6"/>
    </row>
    <row r="28" hidden="1">
      <c r="A28" s="47">
        <v>0.2</v>
      </c>
      <c r="B28" s="48">
        <f>-FV(B$21,'תכנון פרישה'!שנות_עבודה_שנותרו,$D$15*12*$A28)+('תכנון פרישה'!חסכון_נוכחי_2023*(1+B$21)^'תכנון פרישה'!שנות_עבודה_שנותרו)</f>
        <v>4217836.099</v>
      </c>
      <c r="C28" s="48">
        <f>-FV(C$21,'תכנון פרישה'!שנות_עבודה_שנותרו,$D$15*12*$A28)+('תכנון פרישה'!חסכון_נוכחי_2023*(1+C$21)^'תכנון פרישה'!שנות_עבודה_שנותרו)</f>
        <v>4775802.134</v>
      </c>
      <c r="D28" s="48">
        <f>-FV(D$21,'תכנון פרישה'!שנות_עבודה_שנותרו,$D$15*12*$A28)+('תכנון פרישה'!חסכון_נוכחי_2023*(1+D$21)^'תכנון פרישה'!שנות_עבודה_שנותרו)</f>
        <v>5423273.861</v>
      </c>
      <c r="E28" s="48">
        <f>-FV(E$21,'תכנון פרישה'!שנות_עבודה_שנותרו,$D$15*12*$A28)+('תכנון פרישה'!חסכון_נוכחי_2023*(1+E$21)^'תכנון פרישה'!שנות_עבודה_שנותרו)</f>
        <v>6175275.812</v>
      </c>
      <c r="F28" s="48">
        <f>-FV(F$21,'תכנון פרישה'!שנות_עבודה_שנותרו,$D$15*12*$A28)+('תכנון פרישה'!חסכון_נוכחי_2023*(1+F$21)^'תכנון פרישה'!שנות_עבודה_שנותרו)</f>
        <v>7049348.755</v>
      </c>
      <c r="G28" s="48">
        <f>-FV(G$21,'תכנון פרישה'!שנות_עבודה_שנותרו,$D$15*12*$A28)+('תכנון פרישה'!חסכון_נוכחי_2023*(1+G$21)^'תכנון פרישה'!שנות_עבודה_שנותרו)</f>
        <v>8065960.624</v>
      </c>
      <c r="H28" s="2"/>
      <c r="I28" s="6"/>
      <c r="J28" s="6"/>
      <c r="K28" s="6"/>
      <c r="L28" s="6"/>
      <c r="M28" s="6"/>
      <c r="N28" s="2"/>
      <c r="O28" s="6"/>
      <c r="P28" s="6"/>
      <c r="Q28" s="6"/>
      <c r="R28" s="6"/>
      <c r="S28" s="6"/>
    </row>
    <row r="29" ht="15.0" hidden="1" customHeight="1">
      <c r="A29" s="49" t="s">
        <v>40</v>
      </c>
      <c r="B29" s="50">
        <f t="shared" ref="B29:G29" si="5">B28*B$21/12</f>
        <v>10544.59025</v>
      </c>
      <c r="C29" s="50">
        <f t="shared" si="5"/>
        <v>15919.34045</v>
      </c>
      <c r="D29" s="50">
        <f t="shared" si="5"/>
        <v>22596.97442</v>
      </c>
      <c r="E29" s="50">
        <f t="shared" si="5"/>
        <v>30876.37906</v>
      </c>
      <c r="F29" s="50">
        <f t="shared" si="5"/>
        <v>41121.20107</v>
      </c>
      <c r="G29" s="50">
        <f t="shared" si="5"/>
        <v>53773.07082</v>
      </c>
      <c r="H29" s="2"/>
      <c r="I29" s="6"/>
      <c r="J29" s="6"/>
      <c r="K29" s="6"/>
      <c r="L29" s="6"/>
      <c r="M29" s="6"/>
      <c r="N29" s="2"/>
      <c r="O29" s="6"/>
      <c r="P29" s="6"/>
      <c r="Q29" s="6"/>
      <c r="R29" s="6"/>
      <c r="S29" s="6"/>
    </row>
    <row r="30" ht="15.0" hidden="1" customHeight="1">
      <c r="A30" s="51" t="str">
        <f>"כמה נמשוך כולל הקרן , מהפרישה ועד גיל "&amp;$E$4&amp;""</f>
        <v>כמה נמשוך כולל הקרן , מהפרישה ועד גיל 60</v>
      </c>
      <c r="B30" s="52">
        <f>-PMT(B$21,'תכנון פרישה'!גיל_הפנסיה-'תכנון פרישה'!הגיל_שלנו_2023-'תכנון פרישה'!שנות_עבודה_שנותרו,B28)/12</f>
        <v>41204.92189</v>
      </c>
      <c r="C30" s="52">
        <f>-PMT(C$21,'תכנון פרישה'!גיל_הפנסיה-'תכנון פרישה'!הגיל_שלנו_2023-'תכנון פרישה'!שנות_עבודה_שנותרו,C28)/12</f>
        <v>49067.76292</v>
      </c>
      <c r="D30" s="52">
        <f>-PMT(D$21,'תכנון פרישה'!גיל_הפנסיה-'תכנון פרישה'!הגיל_שלנו_2023-'תכנון פרישה'!שנות_עבודה_שנותרו,D28)/12</f>
        <v>58528.23136</v>
      </c>
      <c r="E30" s="52">
        <f>-PMT(E$21,'תכנון פרישה'!גיל_הפנסיה-'תכנון פרישה'!הגיל_שלנו_2023-'תכנון פרישה'!שנות_עבודה_שנותרו,E28)/12</f>
        <v>69918.50967</v>
      </c>
      <c r="F30" s="52">
        <f>-PMT(F$21,'תכנון פרישה'!גיל_הפנסיה-'תכנון פרישה'!הגיל_שלנו_2023-'תכנון פרישה'!שנות_עבודה_שנותרו,F28)/12</f>
        <v>83639.05596</v>
      </c>
      <c r="G30" s="52">
        <f>-PMT(G$21,'תכנון פרישה'!גיל_הפנסיה-'תכנון פרישה'!הגיל_שלנו_2023-'תכנון פרישה'!שנות_עבודה_שנותרו,G28)/12</f>
        <v>100172.1656</v>
      </c>
      <c r="H30" s="2"/>
      <c r="I30" s="6"/>
      <c r="J30" s="6"/>
      <c r="K30" s="6"/>
      <c r="L30" s="6"/>
      <c r="M30" s="6"/>
      <c r="N30" s="2"/>
      <c r="O30" s="6"/>
      <c r="P30" s="6"/>
      <c r="Q30" s="6"/>
      <c r="R30" s="6"/>
      <c r="S30" s="6"/>
    </row>
    <row r="31" hidden="1">
      <c r="A31" s="47">
        <v>0.25</v>
      </c>
      <c r="B31" s="48">
        <f>-FV(B$21,'תכנון פרישה'!שנות_עבודה_שנותרו,$D$15*12*$A31)+('תכנון פרישה'!חסכון_נוכחי_2023*(1+B$21)^'תכנון פרישה'!שנות_עבודה_שנותרו)</f>
        <v>5237757.36</v>
      </c>
      <c r="C31" s="48">
        <f>-FV(C$21,'תכנון פרישה'!שנות_עבודה_שנותרו,$D$15*12*$A31)+('תכנון פרישה'!חסכון_נוכחי_2023*(1+C$21)^'תכנון פרישה'!שנות_עבודה_שנותרו)</f>
        <v>5926620.146</v>
      </c>
      <c r="D31" s="48">
        <f>-FV(D$21,'תכנון פרישה'!שנות_עבודה_שנותרו,$D$15*12*$A31)+('תכנון פרישה'!חסכון_נוכחי_2023*(1+D$21)^'תכנון פרישה'!שנות_עבודה_שנותרו)</f>
        <v>6725340.661</v>
      </c>
      <c r="E31" s="48">
        <f>-FV(E$21,'תכנון פרישה'!שנות_עבודה_שנותרו,$D$15*12*$A31)+('תכנון פרישה'!חסכון_נוכחי_2023*(1+E$21)^'תכנון פרישה'!שנות_עבודה_שנותרו)</f>
        <v>7652249.146</v>
      </c>
      <c r="F31" s="48">
        <f>-FV(F$21,'תכנון פרישה'!שנות_עבודה_שנותרו,$D$15*12*$A31)+('תכנון פרישה'!חסכון_נוכחי_2023*(1+F$21)^'תכנון פרישה'!שנות_עבודה_שנותרו)</f>
        <v>8728726.671</v>
      </c>
      <c r="G31" s="48">
        <f>-FV(G$21,'תכנון פרישה'!שנות_עבודה_שנותרו,$D$15*12*$A31)+('תכנון פרישה'!חסכון_נוכחי_2023*(1+G$21)^'תכנון פרישה'!שנות_עבודה_שנותרו)</f>
        <v>9979700.166</v>
      </c>
      <c r="H31" s="2"/>
      <c r="I31" s="6"/>
      <c r="J31" s="6"/>
      <c r="K31" s="6"/>
      <c r="L31" s="6"/>
      <c r="M31" s="6"/>
      <c r="N31" s="2"/>
      <c r="O31" s="6"/>
      <c r="P31" s="6"/>
      <c r="Q31" s="6"/>
      <c r="R31" s="6"/>
      <c r="S31" s="6"/>
    </row>
    <row r="32" ht="15.0" hidden="1" customHeight="1">
      <c r="A32" s="49" t="s">
        <v>40</v>
      </c>
      <c r="B32" s="50">
        <f t="shared" ref="B32:G32" si="6">B31*B$21/12</f>
        <v>13094.3934</v>
      </c>
      <c r="C32" s="50">
        <f t="shared" si="6"/>
        <v>19755.40049</v>
      </c>
      <c r="D32" s="50">
        <f t="shared" si="6"/>
        <v>28022.25275</v>
      </c>
      <c r="E32" s="50">
        <f t="shared" si="6"/>
        <v>38261.24573</v>
      </c>
      <c r="F32" s="50">
        <f t="shared" si="6"/>
        <v>50917.57225</v>
      </c>
      <c r="G32" s="50">
        <f t="shared" si="6"/>
        <v>66531.33444</v>
      </c>
      <c r="H32" s="2"/>
      <c r="I32" s="6"/>
      <c r="J32" s="6"/>
      <c r="K32" s="6"/>
      <c r="L32" s="6"/>
      <c r="M32" s="6"/>
      <c r="N32" s="2"/>
      <c r="O32" s="6"/>
      <c r="P32" s="6"/>
      <c r="Q32" s="6"/>
      <c r="R32" s="6"/>
      <c r="S32" s="6"/>
    </row>
    <row r="33" ht="15.0" hidden="1" customHeight="1">
      <c r="A33" s="51" t="str">
        <f>"כמה נמשוך כולל הקרן , מהפרישה ועד גיל "&amp;$E$4&amp;""</f>
        <v>כמה נמשוך כולל הקרן , מהפרישה ועד גיל 60</v>
      </c>
      <c r="B33" s="52">
        <f>-PMT(B$21,'תכנון פרישה'!גיל_הפנסיה-'תכנון פרישה'!הגיל_שלנו_2023-'תכנון פרישה'!שנות_עבודה_שנותרו,B31)/12</f>
        <v>51168.74574</v>
      </c>
      <c r="C33" s="52">
        <f>-PMT(C$21,'תכנון פרישה'!גיל_הפנסיה-'תכנון פרישה'!הגיל_שלנו_2023-'תכנון פרישה'!שנות_עבודה_שנותרו,C31)/12</f>
        <v>60891.54954</v>
      </c>
      <c r="D33" s="52">
        <f>-PMT(D$21,'תכנון פרישה'!גיל_הפנסיה-'תכנון פרישה'!הגיל_שלנו_2023-'תכנון פרישה'!שנות_עבודה_שנותרו,D31)/12</f>
        <v>72580.19865</v>
      </c>
      <c r="E33" s="52">
        <f>-PMT(E$21,'תכנון פרישה'!גיל_הפנסיה-'תכנון פרישה'!הגיל_שלנו_2023-'תכנון פרישה'!שנות_עבודה_שנותרו,E31)/12</f>
        <v>86641.28894</v>
      </c>
      <c r="F33" s="52">
        <f>-PMT(F$21,'תכנון פרישה'!גיל_הפנסיה-'תכנון פרישה'!הגיל_שלנו_2023-'תכנון פרישה'!שנות_עבודה_שנותרו,F31)/12</f>
        <v>103564.5254</v>
      </c>
      <c r="G33" s="52">
        <f>-PMT(G$21,'תכנון פרישה'!גיל_הפנסיה-'תכנון פרישה'!הגיל_שלנו_2023-'תכנון פרישה'!שנות_עבודה_שנותרו,G31)/12</f>
        <v>123939.1344</v>
      </c>
      <c r="H33" s="2"/>
      <c r="I33" s="6"/>
      <c r="J33" s="6"/>
      <c r="K33" s="6"/>
      <c r="L33" s="6"/>
      <c r="M33" s="6"/>
      <c r="N33" s="2"/>
      <c r="O33" s="6"/>
      <c r="P33" s="6"/>
      <c r="Q33" s="6"/>
      <c r="R33" s="6"/>
      <c r="S33" s="6"/>
    </row>
    <row r="34" hidden="1">
      <c r="A34" s="47">
        <v>0.3</v>
      </c>
      <c r="B34" s="48">
        <f>-FV(B$21,'תכנון פרישה'!שנות_עבודה_שנותרו,$D$15*12*$A34)+('תכנון פרישה'!חסכון_נוכחי_2023*(1+B$21)^'תכנון פרישה'!שנות_עבודה_שנותרו)</f>
        <v>6257678.621</v>
      </c>
      <c r="C34" s="48">
        <f>-FV(C$21,'תכנון פרישה'!שנות_עבודה_שנותרו,$D$15*12*$A34)+('תכנון פרישה'!חסכון_נוכחי_2023*(1+C$21)^'תכנון פרישה'!שנות_עבודה_שנותרו)</f>
        <v>7077438.157</v>
      </c>
      <c r="D34" s="48">
        <f>-FV(D$21,'תכנון פרישה'!שנות_עבודה_שנותרו,$D$15*12*$A34)+('תכנון פרישה'!חסכון_נוכחי_2023*(1+D$21)^'תכנון פרישה'!שנות_עבודה_שנותרו)</f>
        <v>8027407.461</v>
      </c>
      <c r="E34" s="48">
        <f>-FV(E$21,'תכנון פרישה'!שנות_עבודה_שנותרו,$D$15*12*$A34)+('תכנון פרישה'!חסכון_נוכחי_2023*(1+E$21)^'תכנון פרישה'!שנות_עבודה_שנותרו)</f>
        <v>9129222.48</v>
      </c>
      <c r="F34" s="48">
        <f>-FV(F$21,'תכנון פרישה'!שנות_עבודה_שנותרו,$D$15*12*$A34)+('תכנון פרישה'!חסכון_נוכחי_2023*(1+F$21)^'תכנון פרישה'!שנות_עבודה_שנותרו)</f>
        <v>10408104.59</v>
      </c>
      <c r="G34" s="48">
        <f>-FV(G$21,'תכנון פרישה'!שנות_עבודה_שנותרו,$D$15*12*$A34)+('תכנון פרישה'!חסכון_נוכחי_2023*(1+G$21)^'תכנון פרישה'!שנות_עבודה_שנותרו)</f>
        <v>11893439.71</v>
      </c>
      <c r="H34" s="2"/>
      <c r="I34" s="6"/>
      <c r="J34" s="6"/>
      <c r="K34" s="6"/>
      <c r="L34" s="6"/>
      <c r="M34" s="6"/>
      <c r="N34" s="2"/>
      <c r="O34" s="6"/>
      <c r="P34" s="6"/>
      <c r="Q34" s="6"/>
      <c r="R34" s="6"/>
      <c r="S34" s="6"/>
    </row>
    <row r="35" ht="15.0" hidden="1" customHeight="1">
      <c r="A35" s="49" t="s">
        <v>40</v>
      </c>
      <c r="B35" s="50">
        <f t="shared" ref="B35:G35" si="7">B34*B$21/12</f>
        <v>15644.19655</v>
      </c>
      <c r="C35" s="50">
        <f t="shared" si="7"/>
        <v>23591.46052</v>
      </c>
      <c r="D35" s="50">
        <f t="shared" si="7"/>
        <v>33447.53109</v>
      </c>
      <c r="E35" s="50">
        <f t="shared" si="7"/>
        <v>45646.1124</v>
      </c>
      <c r="F35" s="50">
        <f t="shared" si="7"/>
        <v>60713.94342</v>
      </c>
      <c r="G35" s="50">
        <f t="shared" si="7"/>
        <v>79289.59805</v>
      </c>
      <c r="H35" s="2"/>
      <c r="I35" s="6"/>
      <c r="J35" s="6"/>
      <c r="K35" s="6"/>
      <c r="L35" s="6"/>
      <c r="M35" s="6"/>
      <c r="N35" s="2"/>
      <c r="O35" s="6"/>
      <c r="P35" s="6"/>
      <c r="Q35" s="6"/>
      <c r="R35" s="6"/>
      <c r="S35" s="6"/>
    </row>
    <row r="36" ht="15.0" hidden="1" customHeight="1">
      <c r="A36" s="51" t="str">
        <f>"כמה נמשוך כולל הקרן , מהפרישה ועד גיל "&amp;$E$4&amp;""</f>
        <v>כמה נמשוך כולל הקרן , מהפרישה ועד גיל 60</v>
      </c>
      <c r="B36" s="52">
        <f>-PMT(B$21,'תכנון פרישה'!גיל_הפנסיה-'תכנון פרישה'!הגיל_שלנו_2023-'תכנון פרישה'!שנות_עבודה_שנותרו,B34)/12</f>
        <v>61132.56958</v>
      </c>
      <c r="C36" s="52">
        <f>-PMT(C$21,'תכנון פרישה'!גיל_הפנסיה-'תכנון פרישה'!הגיל_שלנו_2023-'תכנון פרישה'!שנות_עבודה_שנותרו,C34)/12</f>
        <v>72715.33615</v>
      </c>
      <c r="D36" s="52">
        <f>-PMT(D$21,'תכנון פרישה'!גיל_הפנסיה-'תכנון פרישה'!הגיל_שלנו_2023-'תכנון פרישה'!שנות_עבודה_שנותרו,D34)/12</f>
        <v>86632.16594</v>
      </c>
      <c r="E36" s="52">
        <f>-PMT(E$21,'תכנון פרישה'!גיל_הפנסיה-'תכנון פרישה'!הגיל_שלנו_2023-'תכנון פרישה'!שנות_עבודה_שנותרו,E34)/12</f>
        <v>103364.0682</v>
      </c>
      <c r="F36" s="52">
        <f>-PMT(F$21,'תכנון פרישה'!גיל_הפנסיה-'תכנון פרישה'!הגיל_שלנו_2023-'תכנון פרישה'!שנות_עבודה_שנותרו,F34)/12</f>
        <v>123489.9949</v>
      </c>
      <c r="G36" s="52">
        <f>-PMT(G$21,'תכנון פרישה'!גיל_הפנסיה-'תכנון פרישה'!הגיל_שלנו_2023-'תכנון פרישה'!שנות_עבודה_שנותרו,G34)/12</f>
        <v>147706.1032</v>
      </c>
      <c r="H36" s="2"/>
      <c r="I36" s="6"/>
      <c r="J36" s="6"/>
      <c r="K36" s="6"/>
      <c r="L36" s="6"/>
      <c r="M36" s="6"/>
      <c r="N36" s="2"/>
      <c r="O36" s="6"/>
      <c r="P36" s="6"/>
      <c r="Q36" s="6"/>
      <c r="R36" s="6"/>
      <c r="S36" s="6"/>
    </row>
    <row r="37" hidden="1">
      <c r="A37" s="47">
        <v>0.35</v>
      </c>
      <c r="B37" s="48">
        <f>-FV(B$21,'תכנון פרישה'!שנות_עבודה_שנותרו,$D$15*12*$A37)+('תכנון פרישה'!חסכון_נוכחי_2023*(1+B$21)^'תכנון פרישה'!שנות_עבודה_שנותרו)</f>
        <v>7277599.882</v>
      </c>
      <c r="C37" s="48">
        <f>-FV(C$21,'תכנון פרישה'!שנות_עבודה_שנותרו,$D$15*12*$A37)+('תכנון פרישה'!חסכון_נוכחי_2023*(1+C$21)^'תכנון פרישה'!שנות_עבודה_שנותרו)</f>
        <v>8228256.169</v>
      </c>
      <c r="D37" s="48">
        <f>-FV(D$21,'תכנון פרישה'!שנות_עבודה_שנותרו,$D$15*12*$A37)+('תכנון פרישה'!חסכון_נוכחי_2023*(1+D$21)^'תכנון פרישה'!שנות_עבודה_שנותרו)</f>
        <v>9329474.26</v>
      </c>
      <c r="E37" s="48">
        <f>-FV(E$21,'תכנון פרישה'!שנות_עבודה_שנותרו,$D$15*12*$A37)+('תכנון פרישה'!חסכון_נוכחי_2023*(1+E$21)^'תכנון פרישה'!שנות_עבודה_שנותרו)</f>
        <v>10606195.81</v>
      </c>
      <c r="F37" s="48">
        <f>-FV(F$21,'תכנון פרישה'!שנות_עבודה_שנותרו,$D$15*12*$A37)+('תכנון פרישה'!חסכון_נוכחי_2023*(1+F$21)^'תכנון פרישה'!שנות_עבודה_שנותרו)</f>
        <v>12087482.5</v>
      </c>
      <c r="G37" s="48">
        <f>-FV(G$21,'תכנון פרישה'!שנות_עבודה_שנותרו,$D$15*12*$A37)+('תכנון פרישה'!חסכון_נוכחי_2023*(1+G$21)^'תכנון פרישה'!שנות_עבודה_שנותרו)</f>
        <v>13807179.25</v>
      </c>
      <c r="H37" s="2"/>
      <c r="I37" s="6"/>
      <c r="J37" s="6"/>
      <c r="K37" s="6"/>
      <c r="L37" s="6"/>
      <c r="M37" s="6"/>
      <c r="N37" s="2"/>
      <c r="O37" s="6"/>
      <c r="P37" s="6"/>
      <c r="Q37" s="6"/>
      <c r="R37" s="6"/>
      <c r="S37" s="6"/>
    </row>
    <row r="38" ht="15.0" hidden="1" customHeight="1">
      <c r="A38" s="49" t="s">
        <v>40</v>
      </c>
      <c r="B38" s="50">
        <f t="shared" ref="B38:G38" si="8">B37*B$21/12</f>
        <v>18193.99971</v>
      </c>
      <c r="C38" s="50">
        <f t="shared" si="8"/>
        <v>27427.52056</v>
      </c>
      <c r="D38" s="50">
        <f t="shared" si="8"/>
        <v>38872.80942</v>
      </c>
      <c r="E38" s="50">
        <f t="shared" si="8"/>
        <v>53030.97907</v>
      </c>
      <c r="F38" s="50">
        <f t="shared" si="8"/>
        <v>70510.3146</v>
      </c>
      <c r="G38" s="50">
        <f t="shared" si="8"/>
        <v>92047.86167</v>
      </c>
      <c r="H38" s="2"/>
      <c r="I38" s="6"/>
      <c r="J38" s="6"/>
      <c r="K38" s="6"/>
      <c r="L38" s="6"/>
      <c r="M38" s="6"/>
      <c r="N38" s="2"/>
      <c r="O38" s="6"/>
      <c r="P38" s="6"/>
      <c r="Q38" s="6"/>
      <c r="R38" s="6"/>
      <c r="S38" s="6"/>
    </row>
    <row r="39" ht="15.0" hidden="1" customHeight="1">
      <c r="A39" s="51" t="str">
        <f>"כמה נמשוך כולל הקרן , מהפרישה ועד גיל "&amp;$E$4&amp;""</f>
        <v>כמה נמשוך כולל הקרן , מהפרישה ועד גיל 60</v>
      </c>
      <c r="B39" s="52">
        <f>-PMT(B$21,'תכנון פרישה'!גיל_הפנסיה-'תכנון פרישה'!הגיל_שלנו_2023-'תכנון פרישה'!שנות_עבודה_שנותרו,B37)/12</f>
        <v>71096.39342</v>
      </c>
      <c r="C39" s="52">
        <f>-PMT(C$21,'תכנון פרישה'!גיל_הפנסיה-'תכנון פרישה'!הגיל_שלנו_2023-'תכנון פרישה'!שנות_עבודה_שנותרו,C37)/12</f>
        <v>84539.12277</v>
      </c>
      <c r="D39" s="52">
        <f>-PMT(D$21,'תכנון פרישה'!גיל_הפנסיה-'תכנון פרישה'!הגיל_שלנו_2023-'תכנון פרישה'!שנות_עבודה_שנותרו,D37)/12</f>
        <v>100684.1332</v>
      </c>
      <c r="E39" s="52">
        <f>-PMT(E$21,'תכנון פרישה'!גיל_הפנסיה-'תכנון פרישה'!הגיל_שלנו_2023-'תכנון פרישה'!שנות_עבודה_שנותרו,E37)/12</f>
        <v>120086.8475</v>
      </c>
      <c r="F39" s="52">
        <f>-PMT(F$21,'תכנון פרישה'!גיל_הפנסיה-'תכנון פרישה'!הגיל_שלנו_2023-'תכנון פרישה'!שנות_עבודה_שנותרו,F37)/12</f>
        <v>143415.4644</v>
      </c>
      <c r="G39" s="52">
        <f>-PMT(G$21,'תכנון פרישה'!גיל_הפנסיה-'תכנון פרישה'!הגיל_שלנו_2023-'תכנון פרישה'!שנות_עבודה_שנותרו,G37)/12</f>
        <v>171473.072</v>
      </c>
      <c r="H39" s="2"/>
      <c r="I39" s="6"/>
      <c r="J39" s="6"/>
      <c r="K39" s="6"/>
      <c r="L39" s="6"/>
      <c r="M39" s="6"/>
      <c r="N39" s="2"/>
      <c r="O39" s="6"/>
      <c r="P39" s="6"/>
      <c r="Q39" s="6"/>
      <c r="R39" s="6"/>
      <c r="S39" s="6"/>
    </row>
    <row r="40" hidden="1">
      <c r="A40" s="47">
        <v>0.4</v>
      </c>
      <c r="B40" s="48">
        <f>-FV(B$21,'תכנון פרישה'!שנות_עבודה_שנותרו,$D$15*12*$A40)+('תכנון פרישה'!חסכון_נוכחי_2023*(1+B$21)^'תכנון פרישה'!שנות_עבודה_שנותרו)</f>
        <v>8297521.143</v>
      </c>
      <c r="C40" s="48">
        <f>-FV(C$21,'תכנון פרישה'!שנות_עבודה_שנותרו,$D$15*12*$A40)+('תכנון פרישה'!חסכון_נוכחי_2023*(1+C$21)^'תכנון פרישה'!שנות_עבודה_שנותרו)</f>
        <v>9379074.18</v>
      </c>
      <c r="D40" s="48">
        <f>-FV(D$21,'תכנון פרישה'!שנות_עבודה_שנותרו,$D$15*12*$A40)+('תכנון פרישה'!חסכון_נוכחי_2023*(1+D$21)^'תכנון פרישה'!שנות_עבודה_שנותרו)</f>
        <v>10631541.06</v>
      </c>
      <c r="E40" s="48">
        <f>-FV(E$21,'תכנון פרישה'!שנות_עבודה_שנותרו,$D$15*12*$A40)+('תכנון פרישה'!חסכון_נוכחי_2023*(1+E$21)^'תכנון פרישה'!שנות_עבודה_שנותרו)</f>
        <v>12083169.15</v>
      </c>
      <c r="F40" s="48">
        <f>-FV(F$21,'תכנון פרישה'!שנות_עבודה_שנותרו,$D$15*12*$A40)+('תכנון פרישה'!חסכון_נוכחי_2023*(1+F$21)^'תכנון פרישה'!שנות_עבודה_שנותרו)</f>
        <v>13766860.42</v>
      </c>
      <c r="G40" s="48">
        <f>-FV(G$21,'תכנון פרישה'!שנות_עבודה_שנותרו,$D$15*12*$A40)+('תכנון פרישה'!חסכון_נוכחי_2023*(1+G$21)^'תכנון פרישה'!שנות_עבודה_שנותרו)</f>
        <v>15720918.79</v>
      </c>
      <c r="H40" s="2"/>
      <c r="I40" s="6"/>
      <c r="J40" s="6"/>
      <c r="K40" s="6"/>
      <c r="L40" s="6"/>
      <c r="M40" s="6"/>
      <c r="N40" s="2"/>
      <c r="O40" s="6"/>
      <c r="P40" s="6"/>
      <c r="Q40" s="6"/>
      <c r="R40" s="6"/>
      <c r="S40" s="6"/>
    </row>
    <row r="41" ht="14.25" hidden="1" customHeight="1">
      <c r="A41" s="49" t="s">
        <v>40</v>
      </c>
      <c r="B41" s="50">
        <f t="shared" ref="B41:G41" si="9">B40*B$21/12</f>
        <v>20743.80286</v>
      </c>
      <c r="C41" s="50">
        <f t="shared" si="9"/>
        <v>31263.5806</v>
      </c>
      <c r="D41" s="50">
        <f t="shared" si="9"/>
        <v>44298.08775</v>
      </c>
      <c r="E41" s="50">
        <f t="shared" si="9"/>
        <v>60415.84574</v>
      </c>
      <c r="F41" s="50">
        <f t="shared" si="9"/>
        <v>80306.68578</v>
      </c>
      <c r="G41" s="50">
        <f t="shared" si="9"/>
        <v>104806.1253</v>
      </c>
      <c r="H41" s="2"/>
      <c r="I41" s="6"/>
      <c r="J41" s="6"/>
      <c r="K41" s="6"/>
      <c r="L41" s="6"/>
      <c r="M41" s="6"/>
      <c r="N41" s="2"/>
      <c r="O41" s="6"/>
      <c r="P41" s="6"/>
      <c r="Q41" s="6"/>
      <c r="R41" s="6"/>
      <c r="S41" s="6"/>
    </row>
    <row r="42" ht="15.0" hidden="1" customHeight="1">
      <c r="A42" s="51" t="str">
        <f>"כמה נמשוך כולל הקרן , מהפרישה ועד גיל "&amp;$E$4&amp;""</f>
        <v>כמה נמשוך כולל הקרן , מהפרישה ועד גיל 60</v>
      </c>
      <c r="B42" s="52">
        <f>-PMT(B$21,'תכנון פרישה'!גיל_הפנסיה-'תכנון פרישה'!הגיל_שלנו_2023-'תכנון פרישה'!שנות_עבודה_שנותרו,B40)/12</f>
        <v>81060.21727</v>
      </c>
      <c r="C42" s="52">
        <f>-PMT(C$21,'תכנון פרישה'!גיל_הפנסיה-'תכנון פרישה'!הגיל_שלנו_2023-'תכנון פרישה'!שנות_עבודה_שנותרו,C40)/12</f>
        <v>96362.90938</v>
      </c>
      <c r="D42" s="52">
        <f>-PMT(D$21,'תכנון פרישה'!גיל_הפנסיה-'תכנון פרישה'!הגיל_שלנו_2023-'תכנון פרישה'!שנות_עבודה_שנותרו,D40)/12</f>
        <v>114736.1005</v>
      </c>
      <c r="E42" s="52">
        <f>-PMT(E$21,'תכנון פרישה'!גיל_הפנסיה-'תכנון פרישה'!הגיל_שלנו_2023-'תכנון פרישה'!שנות_עבודה_שנותרו,E40)/12</f>
        <v>136809.6267</v>
      </c>
      <c r="F42" s="52">
        <f>-PMT(F$21,'תכנון פרישה'!גיל_הפנסיה-'תכנון פרישה'!הגיל_שלנו_2023-'תכנון פרישה'!שנות_עבודה_שנותרו,F40)/12</f>
        <v>163340.9339</v>
      </c>
      <c r="G42" s="52">
        <f>-PMT(G$21,'תכנון פרישה'!גיל_הפנסיה-'תכנון פרישה'!הגיל_שלנו_2023-'תכנון פרישה'!שנות_עבודה_שנותרו,G40)/12</f>
        <v>195240.0408</v>
      </c>
      <c r="H42" s="2"/>
      <c r="I42" s="6"/>
      <c r="J42" s="6"/>
      <c r="K42" s="6"/>
      <c r="L42" s="6"/>
      <c r="M42" s="6"/>
      <c r="N42" s="2"/>
      <c r="O42" s="6"/>
      <c r="P42" s="6"/>
      <c r="Q42" s="6"/>
      <c r="R42" s="6"/>
      <c r="S42" s="6"/>
    </row>
    <row r="43" hidden="1">
      <c r="A43" s="53">
        <v>0.45</v>
      </c>
      <c r="B43" s="48">
        <f>-FV(B$21,'תכנון פרישה'!שנות_עבודה_שנותרו,$D$15*12*$A43)+('תכנון פרישה'!חסכון_נוכחי_2023*(1+B$21)^'תכנון פרישה'!שנות_עבודה_שנותרו)</f>
        <v>9317442.404</v>
      </c>
      <c r="C43" s="48">
        <f>-FV(C$21,'תכנון פרישה'!שנות_עבודה_שנותרו,$D$15*12*$A43)+('תכנון פרישה'!חסכון_נוכחי_2023*(1+C$21)^'תכנון פרישה'!שנות_עבודה_שנותרו)</f>
        <v>10529892.19</v>
      </c>
      <c r="D43" s="48">
        <f>-FV(D$21,'תכנון פרישה'!שנות_עבודה_שנותרו,$D$15*12*$A43)+('תכנון פרישה'!חסכון_נוכחי_2023*(1+D$21)^'תכנון פרישה'!שנות_עבודה_שנותרו)</f>
        <v>11933607.86</v>
      </c>
      <c r="E43" s="48">
        <f>-FV(E$21,'תכנון פרישה'!שנות_עבודה_שנותרו,$D$15*12*$A43)+('תכנון פרישה'!חסכון_נוכחי_2023*(1+E$21)^'תכנון פרישה'!שנות_עבודה_שנותרו)</f>
        <v>13560142.48</v>
      </c>
      <c r="F43" s="48">
        <f>-FV(F$21,'תכנון פרישה'!שנות_עבודה_שנותרו,$D$15*12*$A43)+('תכנון פרישה'!חסכון_נוכחי_2023*(1+F$21)^'תכנון פרישה'!שנות_עבודה_שנותרו)</f>
        <v>15446238.33</v>
      </c>
      <c r="G43" s="48">
        <f>-FV(G$21,'תכנון פרישה'!שנות_עבודה_שנותרו,$D$15*12*$A43)+('תכנון פרישה'!חסכון_נוכחי_2023*(1+G$21)^'תכנון פרישה'!שנות_עבודה_שנותרו)</f>
        <v>17634658.33</v>
      </c>
      <c r="H43" s="2"/>
      <c r="I43" s="6"/>
      <c r="J43" s="6"/>
      <c r="K43" s="6"/>
      <c r="L43" s="6"/>
      <c r="M43" s="6"/>
      <c r="N43" s="2"/>
      <c r="O43" s="6"/>
      <c r="P43" s="6"/>
      <c r="Q43" s="6"/>
      <c r="R43" s="6"/>
      <c r="S43" s="6"/>
    </row>
    <row r="44" hidden="1">
      <c r="A44" s="49" t="s">
        <v>40</v>
      </c>
      <c r="B44" s="50">
        <f t="shared" ref="B44:G44" si="10">B43*B$21/12</f>
        <v>23293.60601</v>
      </c>
      <c r="C44" s="50">
        <f t="shared" si="10"/>
        <v>35099.64064</v>
      </c>
      <c r="D44" s="50">
        <f t="shared" si="10"/>
        <v>49723.36608</v>
      </c>
      <c r="E44" s="50">
        <f t="shared" si="10"/>
        <v>67800.71241</v>
      </c>
      <c r="F44" s="50">
        <f t="shared" si="10"/>
        <v>90103.05695</v>
      </c>
      <c r="G44" s="50">
        <f t="shared" si="10"/>
        <v>117564.3889</v>
      </c>
      <c r="H44" s="2"/>
      <c r="I44" s="6"/>
      <c r="J44" s="6"/>
      <c r="K44" s="6"/>
      <c r="L44" s="6"/>
      <c r="M44" s="6"/>
      <c r="N44" s="2"/>
      <c r="O44" s="6"/>
      <c r="P44" s="6"/>
      <c r="Q44" s="6"/>
      <c r="R44" s="6"/>
      <c r="S44" s="6"/>
    </row>
    <row r="45" hidden="1">
      <c r="A45" s="51" t="str">
        <f>"כמה נמשוך כולל הקרן , מהפרישה ועד גיל "&amp;$E$4&amp;""</f>
        <v>כמה נמשוך כולל הקרן , מהפרישה ועד גיל 60</v>
      </c>
      <c r="B45" s="52">
        <f>-PMT(B$21,'תכנון פרישה'!גיל_הפנסיה-'תכנון פרישה'!הגיל_שלנו_2023-'תכנון פרישה'!שנות_עבודה_שנותרו,B43)/12</f>
        <v>91024.04111</v>
      </c>
      <c r="C45" s="52">
        <f>-PMT(C$21,'תכנון פרישה'!גיל_הפנסיה-'תכנון פרישה'!הגיל_שלנו_2023-'תכנון פרישה'!שנות_עבודה_שנותרו,C43)/12</f>
        <v>108186.696</v>
      </c>
      <c r="D45" s="52">
        <f>-PMT(D$21,'תכנון פרישה'!גיל_הפנסיה-'תכנון פרישה'!הגיל_שלנו_2023-'תכנון פרישה'!שנות_עבודה_שנותרו,D43)/12</f>
        <v>128788.0678</v>
      </c>
      <c r="E45" s="52">
        <f>-PMT(E$21,'תכנון פרישה'!גיל_הפנסיה-'תכנון פרישה'!הגיל_שלנו_2023-'תכנון פרישה'!שנות_עבודה_שנותרו,E43)/12</f>
        <v>153532.406</v>
      </c>
      <c r="F45" s="52">
        <f>-PMT(F$21,'תכנון פרישה'!גיל_הפנסיה-'תכנון פרישה'!הגיל_שלנו_2023-'תכנון פרישה'!שנות_עבודה_שנותרו,F43)/12</f>
        <v>183266.4034</v>
      </c>
      <c r="G45" s="52">
        <f>-PMT(G$21,'תכנון פרישה'!גיל_הפנסיה-'תכנון פרישה'!הגיל_שלנו_2023-'תכנון פרישה'!שנות_עבודה_שנותרו,G43)/12</f>
        <v>219007.0096</v>
      </c>
      <c r="H45" s="2"/>
      <c r="I45" s="6"/>
      <c r="J45" s="6"/>
      <c r="K45" s="6"/>
      <c r="L45" s="6"/>
      <c r="M45" s="6"/>
      <c r="N45" s="2"/>
      <c r="O45" s="6"/>
      <c r="P45" s="6"/>
      <c r="Q45" s="6"/>
      <c r="R45" s="6"/>
      <c r="S45" s="6"/>
    </row>
    <row r="46" hidden="1">
      <c r="A46" s="53">
        <v>0.5</v>
      </c>
      <c r="B46" s="48">
        <f>-FV(B$21,'תכנון פרישה'!שנות_עבודה_שנותרו,$D$15*12*$A46)+('תכנון פרישה'!חסכון_נוכחי_2023*(1+B$21)^'תכנון פרישה'!שנות_עבודה_שנותרו)</f>
        <v>10337363.67</v>
      </c>
      <c r="C46" s="48">
        <f>-FV(C$21,'תכנון פרישה'!שנות_עבודה_שנותרו,$D$15*12*$A46)+('תכנון פרישה'!חסכון_נוכחי_2023*(1+C$21)^'תכנון פרישה'!שנות_עבודה_שנותרו)</f>
        <v>11680710.2</v>
      </c>
      <c r="D46" s="48">
        <f>-FV(D$21,'תכנון פרישה'!שנות_עבודה_שנותרו,$D$15*12*$A46)+('תכנון פרישה'!חסכון_נוכחי_2023*(1+D$21)^'תכנון פרישה'!שנות_עבודה_שנותרו)</f>
        <v>13235674.66</v>
      </c>
      <c r="E46" s="48">
        <f>-FV(E$21,'תכנון פרישה'!שנות_עבודה_שנותרו,$D$15*12*$A46)+('תכנון פרישה'!חסכון_נוכחי_2023*(1+E$21)^'תכנון פרישה'!שנות_עבודה_שנותרו)</f>
        <v>15037115.82</v>
      </c>
      <c r="F46" s="48">
        <f>-FV(F$21,'תכנון פרישה'!שנות_עבודה_שנותרו,$D$15*12*$A46)+('תכנון פרישה'!חסכון_נוכחי_2023*(1+F$21)^'תכנון פרישה'!שנות_עבודה_שנותרו)</f>
        <v>17125616.25</v>
      </c>
      <c r="G46" s="48">
        <f>-FV(G$21,'תכנון פרישה'!שנות_עבודה_שנותרו,$D$15*12*$A46)+('תכנון פרישה'!חסכון_נוכחי_2023*(1+G$21)^'תכנון פרישה'!שנות_עבודה_שנותרו)</f>
        <v>19548397.88</v>
      </c>
      <c r="H46" s="2"/>
      <c r="I46" s="6"/>
      <c r="J46" s="6"/>
      <c r="K46" s="6"/>
      <c r="L46" s="6"/>
      <c r="M46" s="6"/>
      <c r="N46" s="2"/>
      <c r="O46" s="6"/>
      <c r="P46" s="6"/>
      <c r="Q46" s="6"/>
      <c r="R46" s="6"/>
      <c r="S46" s="6"/>
    </row>
    <row r="47" hidden="1">
      <c r="A47" s="49" t="s">
        <v>40</v>
      </c>
      <c r="B47" s="50">
        <f t="shared" ref="B47:G47" si="11">B46*B$21/12</f>
        <v>25843.40916</v>
      </c>
      <c r="C47" s="50">
        <f t="shared" si="11"/>
        <v>38935.70068</v>
      </c>
      <c r="D47" s="50">
        <f t="shared" si="11"/>
        <v>55148.64441</v>
      </c>
      <c r="E47" s="50">
        <f t="shared" si="11"/>
        <v>75185.57908</v>
      </c>
      <c r="F47" s="50">
        <f t="shared" si="11"/>
        <v>99899.42813</v>
      </c>
      <c r="G47" s="50">
        <f t="shared" si="11"/>
        <v>130322.6525</v>
      </c>
      <c r="H47" s="2"/>
      <c r="I47" s="6"/>
      <c r="J47" s="6"/>
      <c r="K47" s="6"/>
      <c r="L47" s="6"/>
      <c r="M47" s="6"/>
      <c r="N47" s="2"/>
      <c r="O47" s="6"/>
      <c r="P47" s="6"/>
      <c r="Q47" s="6"/>
      <c r="R47" s="6"/>
      <c r="S47" s="6"/>
    </row>
    <row r="48" hidden="1">
      <c r="A48" s="51" t="str">
        <f>"כמה נמשוך כולל הקרן , מהפרישה ועד גיל "&amp;$E$4&amp;""</f>
        <v>כמה נמשוך כולל הקרן , מהפרישה ועד גיל 60</v>
      </c>
      <c r="B48" s="52">
        <f>-PMT(B$21,'תכנון פרישה'!גיל_הפנסיה-'תכנון פרישה'!הגיל_שלנו_2023-'תכנון פרישה'!שנות_עבודה_שנותרו,B46)/12</f>
        <v>100987.865</v>
      </c>
      <c r="C48" s="52">
        <f>-PMT(C$21,'תכנון פרישה'!גיל_הפנסיה-'תכנון פרישה'!הגיל_שלנו_2023-'תכנון פרישה'!שנות_עבודה_שנותרו,C46)/12</f>
        <v>120010.4826</v>
      </c>
      <c r="D48" s="52">
        <f>-PMT(D$21,'תכנון פרישה'!גיל_הפנסיה-'תכנון פרישה'!הגיל_שלנו_2023-'תכנון פרישה'!שנות_עבודה_שנותרו,D46)/12</f>
        <v>142840.0351</v>
      </c>
      <c r="E48" s="52">
        <f>-PMT(E$21,'תכנון פרישה'!גיל_הפנסיה-'תכנון פרישה'!הגיל_שלנו_2023-'תכנון פרישה'!שנות_עבודה_שנותרו,E46)/12</f>
        <v>170255.1853</v>
      </c>
      <c r="F48" s="54">
        <f>-PMT(F$21,'תכנון פרישה'!גיל_הפנסיה-'תכנון פרישה'!הגיל_שלנו_2023-'תכנון פרישה'!שנות_עבודה_שנותרו,F46)/12</f>
        <v>203191.8729</v>
      </c>
      <c r="G48" s="52">
        <f>-PMT(G$21,'תכנון פרישה'!גיל_הפנסיה-'תכנון פרישה'!הגיל_שלנו_2023-'תכנון פרישה'!שנות_עבודה_שנותרו,G46)/12</f>
        <v>242773.9784</v>
      </c>
      <c r="H48" s="2"/>
      <c r="I48" s="6"/>
      <c r="J48" s="6"/>
      <c r="K48" s="6"/>
      <c r="L48" s="6"/>
      <c r="M48" s="6"/>
      <c r="N48" s="2"/>
      <c r="O48" s="6"/>
      <c r="P48" s="6"/>
      <c r="Q48" s="6"/>
      <c r="R48" s="6"/>
      <c r="S48" s="6"/>
    </row>
    <row r="49">
      <c r="A49" s="6"/>
      <c r="B49" s="6"/>
      <c r="C49" s="6"/>
      <c r="D49" s="6"/>
      <c r="E49" s="6"/>
      <c r="F49" s="19"/>
      <c r="G49" s="6"/>
      <c r="H49" s="2"/>
      <c r="I49" s="6"/>
      <c r="J49" s="6"/>
      <c r="K49" s="6"/>
      <c r="L49" s="6"/>
      <c r="M49" s="6"/>
      <c r="N49" s="2"/>
      <c r="O49" s="6"/>
      <c r="P49" s="6"/>
      <c r="Q49" s="6"/>
      <c r="R49" s="6"/>
      <c r="S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</row>
  </sheetData>
  <mergeCells count="13">
    <mergeCell ref="D4:D5"/>
    <mergeCell ref="E4:E5"/>
    <mergeCell ref="D14:F14"/>
    <mergeCell ref="D15:F15"/>
    <mergeCell ref="A20:G20"/>
    <mergeCell ref="K23:K25"/>
    <mergeCell ref="A1:G1"/>
    <mergeCell ref="I1:M1"/>
    <mergeCell ref="O1:R1"/>
    <mergeCell ref="A2:A3"/>
    <mergeCell ref="B2:B3"/>
    <mergeCell ref="D2:D3"/>
    <mergeCell ref="E2:E3"/>
  </mergeCells>
  <conditionalFormatting sqref="A22:A24 B22:G48">
    <cfRule type="expression" dxfId="0" priority="1">
      <formula>"F8 &lt; A20"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75"/>
  <cols>
    <col customWidth="1" min="1" max="1" width="44.5"/>
    <col customWidth="1" min="2" max="3" width="12.75"/>
    <col customWidth="1" min="4" max="4" width="31.88"/>
    <col customWidth="1" min="5" max="5" width="15.38"/>
    <col customWidth="1" min="6" max="7" width="12.88"/>
    <col customWidth="1" min="8" max="8" width="9.5"/>
    <col customWidth="1" min="9" max="9" width="7.88"/>
    <col customWidth="1" min="10" max="10" width="13.38"/>
    <col customWidth="1" min="11" max="11" width="18.63"/>
    <col customWidth="1" min="12" max="12" width="13.25"/>
    <col customWidth="1" min="13" max="15" width="7.88"/>
    <col customWidth="1" min="16" max="16" width="9.5"/>
    <col customWidth="1" min="17" max="17" width="17.75"/>
    <col customWidth="1" min="18" max="19" width="7.88"/>
  </cols>
  <sheetData>
    <row r="1">
      <c r="A1" s="1" t="s">
        <v>0</v>
      </c>
      <c r="H1" s="2"/>
      <c r="I1" s="3" t="s">
        <v>1</v>
      </c>
      <c r="N1" s="2"/>
      <c r="O1" s="3" t="s">
        <v>2</v>
      </c>
      <c r="S1" s="3"/>
    </row>
    <row r="2" ht="19.5" customHeight="1">
      <c r="A2" s="4" t="s">
        <v>3</v>
      </c>
      <c r="B2" s="5">
        <v>4.5</v>
      </c>
      <c r="C2" s="6"/>
      <c r="D2" s="7" t="s">
        <v>41</v>
      </c>
      <c r="E2" s="5">
        <v>20000.0</v>
      </c>
      <c r="F2" s="6"/>
      <c r="G2" s="6"/>
      <c r="H2" s="2"/>
      <c r="I2" s="6"/>
      <c r="J2" s="6"/>
      <c r="K2" s="8" t="s">
        <v>5</v>
      </c>
      <c r="L2" s="8" t="s">
        <v>6</v>
      </c>
      <c r="M2" s="6"/>
      <c r="N2" s="2"/>
      <c r="O2" s="6"/>
      <c r="P2" s="6"/>
      <c r="Q2" s="8" t="s">
        <v>7</v>
      </c>
      <c r="R2" s="6"/>
      <c r="S2" s="6"/>
    </row>
    <row r="3" ht="23.25" customHeight="1">
      <c r="A3" s="9"/>
      <c r="B3" s="9"/>
      <c r="C3" s="6"/>
      <c r="D3" s="9"/>
      <c r="E3" s="9"/>
      <c r="F3" s="6"/>
      <c r="G3" s="6"/>
      <c r="H3" s="2"/>
      <c r="I3" s="6"/>
      <c r="J3" s="10" t="s">
        <v>8</v>
      </c>
      <c r="K3" s="11">
        <f>(8.33%+6%+6.5%)*'תכנון פרישה (מינימום FU money)'!השכר_הסוציאלי_2023-'תכנון פרישה (מינימום FU money)'!תקרת_הפקדה_לפנסיה_בשנת_2023</f>
        <v>4507.5</v>
      </c>
      <c r="L3" s="12">
        <f>fv($B$4,$B$2,-K3*12)+'תכנון פרישה (מינימום FU money)'!קופת_גמל*(1+$B$4)^$B$2</f>
        <v>265607.0734</v>
      </c>
      <c r="M3" s="6"/>
      <c r="N3" s="2"/>
      <c r="O3" s="6"/>
      <c r="P3" s="10" t="s">
        <v>8</v>
      </c>
      <c r="Q3" s="12">
        <f>L3*(1+'תכנון פרישה (מינימום FU money)'!תשואה_ריאלית)^('תכנון פרישה (מינימום FU money)'!גיל_הפנסיה-'תכנון פרישה (מינימום FU money)'!שנות_עבודה_שנותרו-'תכנון פרישה (מינימום FU money)'!הגיל_שלנו_2023)</f>
        <v>1066926.888</v>
      </c>
      <c r="R3" s="6"/>
      <c r="S3" s="6"/>
    </row>
    <row r="4">
      <c r="A4" s="13" t="s">
        <v>9</v>
      </c>
      <c r="B4" s="14">
        <v>0.05</v>
      </c>
      <c r="C4" s="6"/>
      <c r="D4" s="7" t="s">
        <v>10</v>
      </c>
      <c r="E4" s="5">
        <v>60.0</v>
      </c>
      <c r="F4" s="6"/>
      <c r="G4" s="6"/>
      <c r="H4" s="2"/>
      <c r="I4" s="6"/>
      <c r="J4" s="10" t="s">
        <v>11</v>
      </c>
      <c r="K4" s="11">
        <v>4866.0</v>
      </c>
      <c r="L4" s="12">
        <f>fv($B$4,$B$2,-K4*12)+'תכנון פרישה (מינימום FU money)'!קרן_פנסיה*(1+$B$4)^$B$2</f>
        <v>473560.3861</v>
      </c>
      <c r="M4" s="6"/>
      <c r="N4" s="2"/>
      <c r="O4" s="6"/>
      <c r="P4" s="10" t="s">
        <v>11</v>
      </c>
      <c r="Q4" s="12">
        <f>L4*(1+'תכנון פרישה (מינימום FU money)'!תשואה_ריאלית)^('תכנון פרישה (מינימום FU money)'!גיל_הפנסיה-'תכנון פרישה (מינימום FU money)'!שנות_עבודה_שנותרו-'תכנון פרישה (מינימום FU money)'!הגיל_שלנו_2023)</f>
        <v>1902262.25</v>
      </c>
      <c r="R4" s="6"/>
      <c r="S4" s="6"/>
    </row>
    <row r="5">
      <c r="A5" s="13" t="s">
        <v>12</v>
      </c>
      <c r="B5" s="15">
        <f>'תכנון פרישה'!B5</f>
        <v>70000</v>
      </c>
      <c r="C5" s="6"/>
      <c r="D5" s="9"/>
      <c r="E5" s="9"/>
      <c r="F5" s="6"/>
      <c r="G5" s="6"/>
      <c r="H5" s="2"/>
      <c r="I5" s="6"/>
      <c r="J5" s="16" t="s">
        <v>13</v>
      </c>
      <c r="K5" s="17">
        <f>1571*2</f>
        <v>3142</v>
      </c>
      <c r="L5" s="18">
        <f t="shared" ref="L5:L6" si="1">fv($B$4,$B$2,-K5*12)+B5*(1+$B$4)^$B$2</f>
        <v>272330.8163</v>
      </c>
      <c r="M5" s="6"/>
      <c r="N5" s="2"/>
      <c r="O5" s="6"/>
      <c r="P5" s="8"/>
      <c r="Q5" s="19"/>
      <c r="R5" s="6"/>
      <c r="S5" s="6"/>
    </row>
    <row r="6">
      <c r="A6" s="13" t="s">
        <v>14</v>
      </c>
      <c r="B6" s="15">
        <f>'תכנון פרישה'!B6</f>
        <v>100000</v>
      </c>
      <c r="C6" s="6"/>
      <c r="D6" s="6"/>
      <c r="E6" s="20"/>
      <c r="F6" s="20"/>
      <c r="G6" s="6"/>
      <c r="H6" s="2"/>
      <c r="I6" s="6"/>
      <c r="J6" s="16" t="s">
        <v>14</v>
      </c>
      <c r="K6" s="21">
        <f>-E12-sum(K3:K5)</f>
        <v>87903.05416</v>
      </c>
      <c r="L6" s="18">
        <f t="shared" si="1"/>
        <v>5304291.198</v>
      </c>
      <c r="M6" s="6"/>
      <c r="N6" s="2"/>
      <c r="O6" s="6"/>
      <c r="P6" s="10" t="s">
        <v>42</v>
      </c>
      <c r="Q6" s="12">
        <f>SUM(Q3:Q4)/(202+4*(67-E4))</f>
        <v>12909.51799</v>
      </c>
      <c r="R6" s="6"/>
      <c r="S6" s="6"/>
    </row>
    <row r="7">
      <c r="A7" s="13" t="s">
        <v>11</v>
      </c>
      <c r="B7" s="15">
        <f>'תכנון פרישה'!B7</f>
        <v>150000</v>
      </c>
      <c r="C7" s="6"/>
      <c r="D7" s="6"/>
      <c r="E7" s="20"/>
      <c r="F7" s="20"/>
      <c r="G7" s="6"/>
      <c r="H7" s="2"/>
      <c r="I7" s="6"/>
      <c r="J7" s="6"/>
      <c r="K7" s="22"/>
      <c r="L7" s="6"/>
      <c r="M7" s="6"/>
      <c r="N7" s="2"/>
      <c r="O7" s="6"/>
      <c r="P7" s="6"/>
      <c r="Q7" s="6"/>
      <c r="R7" s="6"/>
      <c r="S7" s="6"/>
    </row>
    <row r="8">
      <c r="A8" s="13" t="s">
        <v>16</v>
      </c>
      <c r="B8" s="15" t="str">
        <f>'תכנון פרישה'!B8</f>
        <v/>
      </c>
      <c r="C8" s="6"/>
      <c r="D8" s="6"/>
      <c r="E8" s="20"/>
      <c r="F8" s="20"/>
      <c r="G8" s="6"/>
      <c r="H8" s="2"/>
      <c r="I8" s="6"/>
      <c r="J8" s="8" t="s">
        <v>17</v>
      </c>
      <c r="K8" s="18">
        <f>L5+L6</f>
        <v>5576622.014</v>
      </c>
      <c r="L8" s="6"/>
      <c r="M8" s="6"/>
      <c r="N8" s="2"/>
      <c r="O8" s="6"/>
      <c r="P8" s="6"/>
      <c r="R8" s="6"/>
      <c r="S8" s="6"/>
    </row>
    <row r="9">
      <c r="A9" s="23" t="s">
        <v>18</v>
      </c>
      <c r="B9" s="24">
        <f>'תכנון פרישה'!B9</f>
        <v>0.045</v>
      </c>
      <c r="C9" s="6"/>
      <c r="D9" s="6"/>
      <c r="E9" s="20" t="s">
        <v>19</v>
      </c>
      <c r="F9" s="20" t="s">
        <v>20</v>
      </c>
      <c r="G9" s="6"/>
      <c r="H9" s="2"/>
      <c r="I9" s="6"/>
      <c r="J9" s="8" t="s">
        <v>21</v>
      </c>
      <c r="K9" s="25">
        <f>E4-B2-B14</f>
        <v>28.5</v>
      </c>
      <c r="L9" s="8" t="s">
        <v>22</v>
      </c>
      <c r="M9" s="6"/>
      <c r="N9" s="2"/>
      <c r="O9" s="6"/>
      <c r="P9" s="6"/>
    </row>
    <row r="10">
      <c r="A10" s="13" t="s">
        <v>23</v>
      </c>
      <c r="B10" s="15">
        <f>'תכנון פרישה'!B10</f>
        <v>900000</v>
      </c>
      <c r="C10" s="6"/>
      <c r="D10" s="23" t="s">
        <v>24</v>
      </c>
      <c r="E10" s="26">
        <f>PMT(B9,$B$2,B10)/12</f>
        <v>-18782.08818</v>
      </c>
      <c r="F10" s="27">
        <f t="shared" ref="F10:F12" si="2">-E10/$D$15</f>
        <v>0.1349281717</v>
      </c>
      <c r="G10" s="6"/>
      <c r="H10" s="2"/>
      <c r="I10" s="6"/>
      <c r="J10" s="8" t="s">
        <v>25</v>
      </c>
      <c r="K10" s="28">
        <f>E2*12/K8</f>
        <v>0.04303680604</v>
      </c>
      <c r="L10" s="8" t="s">
        <v>26</v>
      </c>
      <c r="M10" s="6"/>
      <c r="N10" s="2"/>
      <c r="O10" s="6"/>
      <c r="P10" s="6"/>
      <c r="Q10" s="6"/>
      <c r="R10" s="6"/>
      <c r="S10" s="6"/>
    </row>
    <row r="11" hidden="1">
      <c r="A11" s="13" t="s">
        <v>27</v>
      </c>
      <c r="B11" s="29">
        <f>E2*12*('תכנון פרישה (מינימום FU money)'!גיל_הפנסיה-'תכנון פרישה (מינימום FU money)'!הגיל_שלנו_2023-'תכנון פרישה (מינימום FU money)'!שנות_עבודה_שנותרו)</f>
        <v>6840000</v>
      </c>
      <c r="C11" s="6"/>
      <c r="D11" s="23" t="s">
        <v>28</v>
      </c>
      <c r="E11" s="30">
        <f>PMT($B$4,$B$2, ,B11-($B$5*(1+$B$4)^$B$2))/12</f>
        <v>-114599.0048</v>
      </c>
      <c r="F11" s="27">
        <f t="shared" si="2"/>
        <v>0.8232649134</v>
      </c>
      <c r="G11" s="6"/>
      <c r="H11" s="2"/>
      <c r="I11" s="6"/>
      <c r="M11" s="6"/>
      <c r="N11" s="2"/>
      <c r="O11" s="6"/>
      <c r="P11" s="6"/>
      <c r="R11" s="6"/>
      <c r="S11" s="6"/>
    </row>
    <row r="12">
      <c r="A12" s="13" t="s">
        <v>29</v>
      </c>
      <c r="B12" s="31">
        <f>E2*12/'תכנון פרישה (מינימום FU money)'!שיעור_משיכה_בטוח</f>
        <v>6315789.474</v>
      </c>
      <c r="C12" s="6"/>
      <c r="D12" s="23" t="s">
        <v>28</v>
      </c>
      <c r="E12" s="32">
        <f>PMT($B$4,$B$2, ,B12-(($B$5+$B$6+$B$7+$B$8)*(1+$B$4)^$B$2))/12</f>
        <v>-100418.5542</v>
      </c>
      <c r="F12" s="27">
        <f t="shared" si="2"/>
        <v>0.7213943303</v>
      </c>
      <c r="G12" s="6"/>
      <c r="H12" s="2"/>
      <c r="I12" s="6"/>
      <c r="J12" s="6"/>
      <c r="K12" s="6"/>
      <c r="L12" s="6"/>
      <c r="M12" s="6"/>
      <c r="N12" s="2"/>
      <c r="O12" s="6"/>
      <c r="P12" s="6"/>
      <c r="Q12" s="6"/>
      <c r="R12" s="6"/>
      <c r="S12" s="6"/>
    </row>
    <row r="13">
      <c r="A13" s="13" t="s">
        <v>30</v>
      </c>
      <c r="B13" s="15">
        <f>'תכנון פרישה'!B13</f>
        <v>45000</v>
      </c>
      <c r="C13" s="6"/>
      <c r="D13" s="6"/>
      <c r="E13" s="33"/>
      <c r="F13" s="6"/>
      <c r="G13" s="6"/>
      <c r="H13" s="2"/>
      <c r="I13" s="6"/>
      <c r="J13" s="6"/>
      <c r="K13" s="6"/>
      <c r="L13" s="6"/>
      <c r="M13" s="6"/>
      <c r="N13" s="2"/>
      <c r="O13" s="6"/>
      <c r="P13" s="6"/>
      <c r="Q13" s="6"/>
      <c r="R13" s="6"/>
      <c r="S13" s="6"/>
    </row>
    <row r="14">
      <c r="A14" s="13" t="s">
        <v>31</v>
      </c>
      <c r="B14" s="15">
        <f>'תכנון פרישה'!B14</f>
        <v>27</v>
      </c>
      <c r="C14" s="6"/>
      <c r="D14" s="34" t="s">
        <v>43</v>
      </c>
      <c r="E14" s="35"/>
      <c r="F14" s="36"/>
      <c r="G14" s="6"/>
      <c r="H14" s="2"/>
      <c r="I14" s="6"/>
      <c r="J14" s="6"/>
      <c r="K14" s="6"/>
      <c r="L14" s="6"/>
      <c r="M14" s="6"/>
      <c r="N14" s="2"/>
      <c r="O14" s="6"/>
      <c r="P14" s="6"/>
      <c r="Q14" s="6"/>
      <c r="R14" s="6"/>
      <c r="S14" s="6"/>
    </row>
    <row r="15">
      <c r="A15" s="13" t="s">
        <v>33</v>
      </c>
      <c r="B15" s="14">
        <v>0.038</v>
      </c>
      <c r="C15" s="6"/>
      <c r="D15" s="38">
        <f>E2-E10-E12</f>
        <v>139200.6423</v>
      </c>
      <c r="E15" s="39"/>
      <c r="F15" s="40"/>
      <c r="G15" s="6"/>
      <c r="H15" s="2"/>
      <c r="I15" s="6"/>
      <c r="J15" s="20"/>
      <c r="K15" s="6"/>
      <c r="L15" s="6"/>
      <c r="M15" s="6"/>
      <c r="N15" s="2"/>
      <c r="O15" s="6"/>
      <c r="P15" s="20"/>
      <c r="Q15" s="6"/>
      <c r="R15" s="6"/>
      <c r="S15" s="6"/>
    </row>
    <row r="16">
      <c r="A16" s="6"/>
      <c r="B16" s="6"/>
      <c r="C16" s="6"/>
      <c r="D16" s="13" t="s">
        <v>34</v>
      </c>
      <c r="E16" s="13" t="s">
        <v>35</v>
      </c>
      <c r="F16" s="41" t="s">
        <v>36</v>
      </c>
      <c r="G16" s="6"/>
      <c r="H16" s="2"/>
      <c r="I16" s="6"/>
      <c r="J16" s="20"/>
      <c r="K16" s="6"/>
      <c r="L16" s="6"/>
      <c r="M16" s="6"/>
      <c r="N16" s="2"/>
      <c r="O16" s="6"/>
      <c r="P16" s="20"/>
      <c r="Q16" s="6"/>
      <c r="R16" s="6"/>
      <c r="S16" s="6"/>
    </row>
    <row r="17">
      <c r="A17" s="6"/>
      <c r="B17" s="6"/>
      <c r="C17" s="6"/>
      <c r="D17" s="42">
        <f>55%*B13</f>
        <v>24750</v>
      </c>
      <c r="E17" s="42">
        <f>(20.833%)*B13+1571*2</f>
        <v>12516.85</v>
      </c>
      <c r="F17" s="42">
        <f>D15-D17-E17</f>
        <v>101933.7923</v>
      </c>
      <c r="G17" s="6"/>
      <c r="H17" s="2"/>
      <c r="I17" s="6"/>
      <c r="J17" s="20"/>
      <c r="K17" s="6"/>
      <c r="L17" s="6"/>
      <c r="M17" s="6"/>
      <c r="N17" s="2"/>
      <c r="O17" s="6"/>
      <c r="P17" s="20"/>
      <c r="Q17" s="6"/>
      <c r="R17" s="6"/>
      <c r="S17" s="6"/>
    </row>
    <row r="18">
      <c r="A18" s="6"/>
      <c r="B18" s="6"/>
      <c r="C18" s="6"/>
      <c r="D18" s="6"/>
      <c r="E18" s="6"/>
      <c r="F18" s="6"/>
      <c r="G18" s="6"/>
      <c r="H18" s="2"/>
      <c r="I18" s="6"/>
      <c r="J18" s="6"/>
      <c r="K18" s="6"/>
      <c r="L18" s="6"/>
      <c r="M18" s="6"/>
      <c r="N18" s="2"/>
      <c r="O18" s="6"/>
      <c r="P18" s="6"/>
      <c r="Q18" s="6"/>
      <c r="R18" s="6"/>
      <c r="S18" s="6"/>
    </row>
    <row r="19">
      <c r="A19" s="6"/>
      <c r="B19" s="6"/>
      <c r="C19" s="6"/>
      <c r="D19" s="6"/>
      <c r="E19" s="8" t="s">
        <v>37</v>
      </c>
      <c r="F19" s="42">
        <f>F17*12*2/3.7</f>
        <v>661192.1665</v>
      </c>
      <c r="G19" s="6"/>
      <c r="H19" s="2"/>
      <c r="I19" s="6"/>
      <c r="J19" s="6"/>
      <c r="K19" s="6"/>
      <c r="L19" s="6"/>
      <c r="M19" s="6"/>
      <c r="N19" s="2"/>
      <c r="O19" s="6"/>
      <c r="P19" s="6"/>
      <c r="Q19" s="6"/>
      <c r="R19" s="6"/>
      <c r="S19" s="6"/>
    </row>
    <row r="20" hidden="1">
      <c r="A20" s="43" t="s">
        <v>38</v>
      </c>
      <c r="B20" s="39"/>
      <c r="C20" s="39"/>
      <c r="D20" s="39"/>
      <c r="E20" s="39"/>
      <c r="F20" s="39"/>
      <c r="G20" s="40"/>
      <c r="H20" s="2"/>
      <c r="I20" s="6"/>
      <c r="J20" s="6"/>
      <c r="K20" s="6"/>
      <c r="L20" s="6"/>
      <c r="M20" s="6"/>
      <c r="N20" s="2"/>
      <c r="O20" s="6"/>
      <c r="P20" s="6"/>
      <c r="Q20" s="6"/>
      <c r="R20" s="6"/>
      <c r="S20" s="6"/>
    </row>
    <row r="21" hidden="1">
      <c r="A21" s="44" t="s">
        <v>39</v>
      </c>
      <c r="B21" s="45">
        <v>0.03</v>
      </c>
      <c r="C21" s="45">
        <v>0.04</v>
      </c>
      <c r="D21" s="45">
        <v>0.05</v>
      </c>
      <c r="E21" s="45">
        <v>0.06</v>
      </c>
      <c r="F21" s="45">
        <v>0.07</v>
      </c>
      <c r="G21" s="46">
        <v>0.08</v>
      </c>
      <c r="H21" s="2"/>
      <c r="I21" s="6"/>
      <c r="J21" s="6"/>
      <c r="K21" s="6"/>
      <c r="L21" s="6"/>
      <c r="M21" s="6"/>
      <c r="N21" s="2"/>
      <c r="O21" s="6"/>
      <c r="P21" s="6"/>
      <c r="Q21" s="6"/>
      <c r="R21" s="6"/>
      <c r="S21" s="6"/>
    </row>
    <row r="22" hidden="1">
      <c r="A22" s="47">
        <v>0.1</v>
      </c>
      <c r="B22" s="48">
        <f>-FV(B$21,'תכנון פרישה (מינימום FU money)'!שנות_עבודה_שנותרו,$D$15*12*$A22)+('תכנון פרישה (מינימום FU money)'!חסכון_נוכחי_2023*(1+B$21)^'תכנון פרישה (מינימום FU money)'!שנות_עבודה_שנותרו)</f>
        <v>872103.2356</v>
      </c>
      <c r="C22" s="48">
        <f>-FV(C$21,'תכנון פרישה (מינימום FU money)'!שנות_עבודה_שנותרו,$D$15*12*$A22)+('תכנון פרישה (מינימום FU money)'!חסכון_נוכחי_2023*(1+C$21)^'תכנון פרישה (מינימום FU money)'!שנות_עבודה_שנותרו)</f>
        <v>889593.4961</v>
      </c>
      <c r="D22" s="48">
        <f>-FV(D$21,'תכנון פרישה (מינימום FU money)'!שנות_עבודה_שנותרו,$D$15*12*$A22)+('תכנון פרישה (מינימום FU money)'!חסכון_נוכחי_2023*(1+D$21)^'תכנון פרישה (מינימום FU money)'!שנות_עבודה_שנותרו)</f>
        <v>907434.5541</v>
      </c>
      <c r="E22" s="48">
        <f>-FV(E$21,'תכנון פרישה (מינימום FU money)'!שנות_עבודה_שנותרו,$D$15*12*$A22)+('תכנון פרישה (מינימום FU money)'!חסכון_נוכחי_2023*(1+E$21)^'תכנון פרישה (מינימום FU money)'!שנות_עבודה_שנותרו)</f>
        <v>925631.8647</v>
      </c>
      <c r="F22" s="48">
        <f>-FV(F$21,'תכנון פרישה (מינימום FU money)'!שנות_עבודה_שנותרו,$D$15*12*$A22)+('תכנון פרישה (מינימום FU money)'!חסכון_נוכחי_2023*(1+F$21)^'תכנון פרישה (מינימום FU money)'!שנות_עבודה_שנותרו)</f>
        <v>944190.9345</v>
      </c>
      <c r="G22" s="48">
        <f>-FV(G$21,'תכנון פרישה (מינימום FU money)'!שנות_עבודה_שנותרו,$D$15*12*$A22)+('תכנון פרישה (מינימום FU money)'!חסכון_נוכחי_2023*(1+G$21)^'תכנון פרישה (מינימום FU money)'!שנות_עבודה_שנותרו)</f>
        <v>963117.3228</v>
      </c>
      <c r="H22" s="2"/>
      <c r="I22" s="6"/>
      <c r="J22" s="6"/>
      <c r="K22" s="6"/>
      <c r="L22" s="6"/>
      <c r="M22" s="6"/>
      <c r="N22" s="2"/>
      <c r="O22" s="6"/>
      <c r="P22" s="6"/>
      <c r="Q22" s="6"/>
      <c r="R22" s="6"/>
      <c r="S22" s="6"/>
    </row>
    <row r="23" ht="15.0" hidden="1" customHeight="1">
      <c r="A23" s="49" t="s">
        <v>40</v>
      </c>
      <c r="B23" s="50">
        <f t="shared" ref="B23:G23" si="3">B22*B$21/12</f>
        <v>2180.258089</v>
      </c>
      <c r="C23" s="50">
        <f t="shared" si="3"/>
        <v>2965.311654</v>
      </c>
      <c r="D23" s="50">
        <f t="shared" si="3"/>
        <v>3780.977309</v>
      </c>
      <c r="E23" s="50">
        <f t="shared" si="3"/>
        <v>4628.159323</v>
      </c>
      <c r="F23" s="50">
        <f t="shared" si="3"/>
        <v>5507.780451</v>
      </c>
      <c r="G23" s="50">
        <f t="shared" si="3"/>
        <v>6420.782152</v>
      </c>
      <c r="H23" s="2"/>
      <c r="I23" s="6"/>
      <c r="J23" s="6"/>
      <c r="K23" s="6"/>
      <c r="L23" s="6"/>
      <c r="M23" s="6"/>
      <c r="N23" s="2"/>
      <c r="O23" s="6"/>
      <c r="P23" s="6"/>
      <c r="Q23" s="6"/>
      <c r="R23" s="6"/>
      <c r="S23" s="6"/>
    </row>
    <row r="24" ht="15.0" hidden="1" customHeight="1">
      <c r="A24" s="51" t="str">
        <f>"כמה נמשוך כולל הקרן , מהפרישה ועד גיל "&amp;$E$4&amp;""</f>
        <v>כמה נמשוך כולל הקרן , מהפרישה ועד גיל 60</v>
      </c>
      <c r="B24" s="52">
        <f>-PMT(B$21,'תכנון פרישה (מינימום FU money)'!גיל_הפנסיה-'תכנון פרישה (מינימום FU money)'!הגיל_שלנו_2023-'תכנון פרישה (מינימום FU money)'!שנות_עבודה_שנותרו,B22)/12</f>
        <v>3829.478703</v>
      </c>
      <c r="C24" s="52">
        <f>-PMT(C$21,'תכנון פרישה (מינימום FU money)'!גיל_הפנסיה-'תכנון פרישה (מינימום FU money)'!הגיל_שלנו_2023-'תכנון פרישה (מינימום FU money)'!שנות_עבודה_שנותרו,C22)/12</f>
        <v>4406.119681</v>
      </c>
      <c r="D24" s="52">
        <f>-PMT(D$21,'תכנון פרישה (מינימום FU money)'!גיל_הפנסיה-'תכנון פרישה (מינימום FU money)'!הגיל_שלנו_2023-'תכנון פרישה (מינימום FU money)'!שנות_עבודה_שנותרו,D22)/12</f>
        <v>5034.227633</v>
      </c>
      <c r="E24" s="52">
        <f>-PMT(E$21,'תכנון פרישה (מינימום FU money)'!גיל_הפנסיה-'תכנון פרישה (מינימום FU money)'!הגיל_שלנו_2023-'תכנון פרישה (מינימום FU money)'!שנות_עבודה_שנותרו,E22)/12</f>
        <v>5713.867181</v>
      </c>
      <c r="F24" s="52">
        <f>-PMT(F$21,'תכנון פרישה (מינימום FU money)'!גיל_הפנסיה-'תכנון פרישה (מינימום FU money)'!הגיל_שלנו_2023-'תכנון פרישה (מינימום FU money)'!שנות_עבודה_שנותרו,F22)/12</f>
        <v>6444.858394</v>
      </c>
      <c r="G24" s="52">
        <f>-PMT(G$21,'תכנון פרישה (מינימום FU money)'!גיל_הפנסיה-'תכנון פרישה (מינימום FU money)'!הגיל_שלנו_2023-'תכנון פרישה (מינימום FU money)'!שנות_עבודה_שנותרו,G22)/12</f>
        <v>7226.850858</v>
      </c>
      <c r="H24" s="2"/>
      <c r="I24" s="6"/>
      <c r="J24" s="6"/>
      <c r="L24" s="6"/>
      <c r="M24" s="6"/>
      <c r="N24" s="2"/>
      <c r="O24" s="6"/>
      <c r="P24" s="6"/>
      <c r="Q24" s="6"/>
      <c r="R24" s="6"/>
      <c r="S24" s="6"/>
    </row>
    <row r="25" hidden="1">
      <c r="A25" s="47">
        <v>0.15</v>
      </c>
      <c r="B25" s="48">
        <f>-FV(B$21,'תכנון פרישה (מינימום FU money)'!שנות_עבודה_שנותרו,$D$15*12*$A25)+('תכנון פרישה (מינימום FU money)'!חסכון_נוכחי_2023*(1+B$21)^'תכנון פרישה (מינימום FU money)'!שנות_עבודה_שנותרו)</f>
        <v>1268175.519</v>
      </c>
      <c r="C25" s="48">
        <f>-FV(C$21,'תכנון פרישה (מינימום FU money)'!שנות_עבודה_שנותרו,$D$15*12*$A25)+('תכנון פרישה (מינימום FU money)'!חסכון_נוכחי_2023*(1+C$21)^'תכנון פרישה (מינימום FU money)'!שנות_עבודה_שנותרו)</f>
        <v>1292634.323</v>
      </c>
      <c r="D25" s="48">
        <f>-FV(D$21,'תכנון פרישה (מינימום FU money)'!שנות_עבודה_שנותרו,$D$15*12*$A25)+('תכנון פרישה (מינימום FU money)'!חסכון_נוכחי_2023*(1+D$21)^'תכנון פרישה (מינימום FU money)'!שנות_עבודה_שנותרו)</f>
        <v>1317558.517</v>
      </c>
      <c r="E25" s="48">
        <f>-FV(E$21,'תכנון פרישה (מינימום FU money)'!שנות_עבודה_שנותרו,$D$15*12*$A25)+('תכנון פרישה (מינימום FU money)'!חסכון_נוכחי_2023*(1+E$21)^'תכנון פרישה (מינימום FU money)'!שנות_עבודה_שנותרו)</f>
        <v>1342954.812</v>
      </c>
      <c r="F25" s="48">
        <f>-FV(F$21,'תכנון פרישה (מינימום FU money)'!שנות_עבודה_שנותרו,$D$15*12*$A25)+('תכנון פרישה (מינימום FU money)'!חסכון_נוכחי_2023*(1+F$21)^'תכנון פרישה (מינימום FU money)'!שנות_עבודה_שנותרו)</f>
        <v>1368829.974</v>
      </c>
      <c r="G25" s="48">
        <f>-FV(G$21,'תכנון פרישה (מינימום FU money)'!שנות_עבודה_שנותרו,$D$15*12*$A25)+('תכנון פרישה (מינימום FU money)'!חסכון_נוכחי_2023*(1+G$21)^'תכנון פרישה (מינימום FU money)'!שנות_עבודה_שנותרו)</f>
        <v>1395190.828</v>
      </c>
      <c r="H25" s="2"/>
      <c r="I25" s="6"/>
      <c r="J25" s="6"/>
      <c r="L25" s="6"/>
      <c r="M25" s="6"/>
      <c r="N25" s="2"/>
      <c r="O25" s="6"/>
      <c r="P25" s="6"/>
      <c r="Q25" s="6"/>
      <c r="R25" s="6"/>
      <c r="S25" s="6"/>
    </row>
    <row r="26" ht="15.0" hidden="1" customHeight="1">
      <c r="A26" s="49" t="s">
        <v>40</v>
      </c>
      <c r="B26" s="50">
        <f t="shared" ref="B26:G26" si="4">B25*B$21/12</f>
        <v>3170.438799</v>
      </c>
      <c r="C26" s="50">
        <f t="shared" si="4"/>
        <v>4308.781076</v>
      </c>
      <c r="D26" s="50">
        <f t="shared" si="4"/>
        <v>5489.827153</v>
      </c>
      <c r="E26" s="50">
        <f t="shared" si="4"/>
        <v>6714.774058</v>
      </c>
      <c r="F26" s="50">
        <f t="shared" si="4"/>
        <v>7984.841515</v>
      </c>
      <c r="G26" s="50">
        <f t="shared" si="4"/>
        <v>9301.272187</v>
      </c>
      <c r="H26" s="2"/>
      <c r="I26" s="6"/>
      <c r="J26" s="6"/>
      <c r="K26" s="6"/>
      <c r="L26" s="6"/>
      <c r="M26" s="6"/>
      <c r="N26" s="2"/>
      <c r="O26" s="6"/>
      <c r="P26" s="6"/>
      <c r="Q26" s="6"/>
      <c r="R26" s="6"/>
      <c r="S26" s="6"/>
    </row>
    <row r="27" ht="15.0" hidden="1" customHeight="1">
      <c r="A27" s="51" t="str">
        <f>"כמה נמשוך כולל הקרן , מהפרישה ועד גיל "&amp;$E$4&amp;""</f>
        <v>כמה נמשוך כולל הקרן , מהפרישה ועד גיל 60</v>
      </c>
      <c r="B27" s="52">
        <f>-PMT(B$21,'תכנון פרישה (מינימום FU money)'!גיל_הפנסיה-'תכנון פרישה (מינימום FU money)'!הגיל_שלנו_2023-'תכנון פרישה (מינימום FU money)'!שנות_עבודה_שנותרו,B25)/12</f>
        <v>5568.665434</v>
      </c>
      <c r="C27" s="52">
        <f>-PMT(C$21,'תכנון פרישה (מינימום FU money)'!גיל_הפנסיה-'תכנון פרישה (מינימום FU money)'!הגיל_שלנו_2023-'תכנון פרישה (מינימום FU money)'!שנות_עבודה_שנותרו,C25)/12</f>
        <v>6402.364175</v>
      </c>
      <c r="D27" s="52">
        <f>-PMT(D$21,'תכנון פרישה (מינימום FU money)'!גיל_הפנסיה-'תכנון פרישה (מינימום FU money)'!הגיל_שלנו_2023-'תכנון פרישה (מינימום FU money)'!שנות_עבודה_שנותרו,D25)/12</f>
        <v>7309.496275</v>
      </c>
      <c r="E27" s="52">
        <f>-PMT(E$21,'תכנון פרישה (מינימום FU money)'!גיל_הפנסיה-'תכנון פרישה (מינימום FU money)'!הגיל_שלנו_2023-'תכנון פרישה (מינימום FU money)'!שנות_עבודה_שנותרו,E25)/12</f>
        <v>8289.975438</v>
      </c>
      <c r="F27" s="52">
        <f>-PMT(F$21,'תכנון פרישה (מינימום FU money)'!גיל_הפנסיה-'תכנון פרישה (מינימום FU money)'!הגיל_שלנו_2023-'תכנון פרישה (מינימום FU money)'!שנות_עבודה_שנותרו,F25)/12</f>
        <v>9343.359511</v>
      </c>
      <c r="G27" s="52">
        <f>-PMT(G$21,'תכנון פרישה (מינימום FU money)'!גיל_הפנסיה-'תכנון פרישה (מינימום FU money)'!הגיל_שלנו_2023-'תכנון פרישה (מינימום FU money)'!שנות_עבודה_שנותרו,G25)/12</f>
        <v>10468.95928</v>
      </c>
      <c r="H27" s="2"/>
      <c r="I27" s="6"/>
      <c r="J27" s="6"/>
      <c r="K27" s="6"/>
      <c r="L27" s="6"/>
      <c r="M27" s="6"/>
      <c r="N27" s="2"/>
      <c r="O27" s="6"/>
      <c r="P27" s="6"/>
      <c r="Q27" s="6"/>
      <c r="R27" s="6"/>
      <c r="S27" s="6"/>
    </row>
    <row r="28" hidden="1">
      <c r="A28" s="47">
        <v>0.2</v>
      </c>
      <c r="B28" s="48">
        <f>-FV(B$21,'תכנון פרישה (מינימום FU money)'!שנות_עבודה_שנותרו,$D$15*12*$A28)+('תכנון פרישה (מינימום FU money)'!חסכון_נוכחי_2023*(1+B$21)^'תכנון פרישה (מינימום FU money)'!שנות_עבודה_שנותרו)</f>
        <v>1664247.803</v>
      </c>
      <c r="C28" s="48">
        <f>-FV(C$21,'תכנון פרישה (מינימום FU money)'!שנות_עבודה_שנותרו,$D$15*12*$A28)+('תכנון פרישה (מינימום FU money)'!חסכון_נוכחי_2023*(1+C$21)^'תכנון פרישה (מינימום FU money)'!שנות_עבודה_שנותרו)</f>
        <v>1695675.149</v>
      </c>
      <c r="D28" s="48">
        <f>-FV(D$21,'תכנון פרישה (מינימום FU money)'!שנות_עבודה_שנותרו,$D$15*12*$A28)+('תכנון פרישה (מינימום FU money)'!חסכון_נוכחי_2023*(1+D$21)^'תכנון פרישה (מינימום FU money)'!שנות_עבודה_שנותרו)</f>
        <v>1727682.479</v>
      </c>
      <c r="E28" s="48">
        <f>-FV(E$21,'תכנון פרישה (מינימום FU money)'!שנות_עבודה_שנותרו,$D$15*12*$A28)+('תכנון פרישה (מינימום FU money)'!חסכון_נוכחי_2023*(1+E$21)^'תכנון פרישה (מינימום FU money)'!שנות_עבודה_שנותרו)</f>
        <v>1760277.758</v>
      </c>
      <c r="F28" s="48">
        <f>-FV(F$21,'תכנון פרישה (מינימום FU money)'!שנות_עבודה_שנותרו,$D$15*12*$A28)+('תכנון פרישה (מינימום FU money)'!חסכון_נוכחי_2023*(1+F$21)^'תכנון פרישה (מינימום FU money)'!שנות_עבודה_שנותרו)</f>
        <v>1793469.014</v>
      </c>
      <c r="G28" s="48">
        <f>-FV(G$21,'תכנון פרישה (מינימום FU money)'!שנות_עבודה_שנותרו,$D$15*12*$A28)+('תכנון פרישה (מינימום FU money)'!חסכון_נוכחי_2023*(1+G$21)^'תכנון פרישה (מינימום FU money)'!שנות_עבודה_שנותרו)</f>
        <v>1827264.333</v>
      </c>
      <c r="H28" s="2"/>
      <c r="I28" s="6"/>
      <c r="J28" s="6"/>
      <c r="K28" s="6"/>
      <c r="L28" s="6"/>
      <c r="M28" s="6"/>
      <c r="N28" s="2"/>
      <c r="O28" s="6"/>
      <c r="P28" s="6"/>
      <c r="Q28" s="6"/>
      <c r="R28" s="6"/>
      <c r="S28" s="6"/>
    </row>
    <row r="29" ht="15.0" hidden="1" customHeight="1">
      <c r="A29" s="49" t="s">
        <v>40</v>
      </c>
      <c r="B29" s="50">
        <f t="shared" ref="B29:G29" si="5">B28*B$21/12</f>
        <v>4160.619508</v>
      </c>
      <c r="C29" s="50">
        <f t="shared" si="5"/>
        <v>5652.250498</v>
      </c>
      <c r="D29" s="50">
        <f t="shared" si="5"/>
        <v>7198.676997</v>
      </c>
      <c r="E29" s="50">
        <f t="shared" si="5"/>
        <v>8801.388792</v>
      </c>
      <c r="F29" s="50">
        <f t="shared" si="5"/>
        <v>10461.90258</v>
      </c>
      <c r="G29" s="50">
        <f t="shared" si="5"/>
        <v>12181.76222</v>
      </c>
      <c r="H29" s="2"/>
      <c r="I29" s="6"/>
      <c r="J29" s="6"/>
      <c r="K29" s="6"/>
      <c r="L29" s="6"/>
      <c r="M29" s="6"/>
      <c r="N29" s="2"/>
      <c r="O29" s="6"/>
      <c r="P29" s="6"/>
      <c r="Q29" s="6"/>
      <c r="R29" s="6"/>
      <c r="S29" s="6"/>
    </row>
    <row r="30" ht="15.0" hidden="1" customHeight="1">
      <c r="A30" s="51" t="str">
        <f>"כמה נמשוך כולל הקרן , מהפרישה ועד גיל "&amp;$E$4&amp;""</f>
        <v>כמה נמשוך כולל הקרן , מהפרישה ועד גיל 60</v>
      </c>
      <c r="B30" s="52">
        <f>-PMT(B$21,'תכנון פרישה (מינימום FU money)'!גיל_הפנסיה-'תכנון פרישה (מינימום FU money)'!הגיל_שלנו_2023-'תכנון פרישה (מינימום FU money)'!שנות_עבודה_שנותרו,B28)/12</f>
        <v>7307.852166</v>
      </c>
      <c r="C30" s="52">
        <f>-PMT(C$21,'תכנון פרישה (מינימום FU money)'!גיל_הפנסיה-'תכנון פרישה (מינימום FU money)'!הגיל_שלנו_2023-'תכנון פרישה (מינימום FU money)'!שנות_עבודה_שנותרו,C28)/12</f>
        <v>8398.608669</v>
      </c>
      <c r="D30" s="52">
        <f>-PMT(D$21,'תכנון פרישה (מינימום FU money)'!גיל_הפנסיה-'תכנון פרישה (מינימום FU money)'!הגיל_שלנו_2023-'תכנון פרישה (מינימום FU money)'!שנות_עבודה_שנותרו,D28)/12</f>
        <v>9584.764917</v>
      </c>
      <c r="E30" s="52">
        <f>-PMT(E$21,'תכנון פרישה (מינימום FU money)'!גיל_הפנסיה-'תכנון פרישה (מינימום FU money)'!הגיל_שלנו_2023-'תכנון פרישה (מינימום FU money)'!שנות_עבודה_שנותרו,E28)/12</f>
        <v>10866.0837</v>
      </c>
      <c r="F30" s="52">
        <f>-PMT(F$21,'תכנון פרישה (מינימום FU money)'!גיל_הפנסיה-'תכנון פרישה (מינימום FU money)'!הגיל_שלנו_2023-'תכנון פרישה (מינימום FU money)'!שנות_עבודה_שנותרו,F28)/12</f>
        <v>12241.86063</v>
      </c>
      <c r="G30" s="52">
        <f>-PMT(G$21,'תכנון פרישה (מינימום FU money)'!גיל_הפנסיה-'תכנון פרישה (מינימום FU money)'!הגיל_שלנו_2023-'תכנון פרישה (מינימום FU money)'!שנות_עבודה_שנותרו,G28)/12</f>
        <v>13711.0677</v>
      </c>
      <c r="H30" s="2"/>
      <c r="I30" s="6"/>
      <c r="J30" s="6"/>
      <c r="K30" s="6"/>
      <c r="L30" s="6"/>
      <c r="M30" s="6"/>
      <c r="N30" s="2"/>
      <c r="O30" s="6"/>
      <c r="P30" s="6"/>
      <c r="Q30" s="6"/>
      <c r="R30" s="6"/>
      <c r="S30" s="6"/>
    </row>
    <row r="31" hidden="1">
      <c r="A31" s="47">
        <v>0.25</v>
      </c>
      <c r="B31" s="48">
        <f>-FV(B$21,'תכנון פרישה (מינימום FU money)'!שנות_עבודה_שנותרו,$D$15*12*$A31)+('תכנון פרישה (מינימום FU money)'!חסכון_נוכחי_2023*(1+B$21)^'תכנון פרישה (מינימום FU money)'!שנות_עבודה_שנותרו)</f>
        <v>2060320.087</v>
      </c>
      <c r="C31" s="48">
        <f>-FV(C$21,'תכנון פרישה (מינימום FU money)'!שנות_עבודה_שנותרו,$D$15*12*$A31)+('תכנון פרישה (מינימום FU money)'!חסכון_נוכחי_2023*(1+C$21)^'תכנון פרישה (מינימום FU money)'!שנות_עבודה_שנותרו)</f>
        <v>2098715.976</v>
      </c>
      <c r="D31" s="48">
        <f>-FV(D$21,'תכנון פרישה (מינימום FU money)'!שנות_עבודה_שנותרו,$D$15*12*$A31)+('תכנון פרישה (מינימום FU money)'!חסכון_נוכחי_2023*(1+D$21)^'תכנון פרישה (מינימום FU money)'!שנות_עבודה_שנותרו)</f>
        <v>2137806.442</v>
      </c>
      <c r="E31" s="48">
        <f>-FV(E$21,'תכנון פרישה (מינימום FU money)'!שנות_עבודה_שנותרו,$D$15*12*$A31)+('תכנון פרישה (מינימום FU money)'!חסכון_נוכחי_2023*(1+E$21)^'תכנון פרישה (מינימום FU money)'!שנות_עבודה_שנותרו)</f>
        <v>2177600.705</v>
      </c>
      <c r="F31" s="48">
        <f>-FV(F$21,'תכנון פרישה (מינימום FU money)'!שנות_עבודה_שנותרו,$D$15*12*$A31)+('תכנון פרישה (מינימום FU money)'!חסכון_נוכחי_2023*(1+F$21)^'תכנון פרישה (מינימום FU money)'!שנות_עבודה_שנותרו)</f>
        <v>2218108.053</v>
      </c>
      <c r="G31" s="48">
        <f>-FV(G$21,'תכנון פרישה (מינימום FU money)'!שנות_עבודה_שנותרו,$D$15*12*$A31)+('תכנון פרישה (מינימום FU money)'!חסכון_נוכחי_2023*(1+G$21)^'תכנון פרישה (מינימום FU money)'!שנות_עבודה_שנותרו)</f>
        <v>2259337.839</v>
      </c>
      <c r="H31" s="2"/>
      <c r="I31" s="6"/>
      <c r="J31" s="6"/>
      <c r="K31" s="6"/>
      <c r="L31" s="6"/>
      <c r="M31" s="6"/>
      <c r="N31" s="2"/>
      <c r="O31" s="6"/>
      <c r="P31" s="6"/>
      <c r="Q31" s="6"/>
      <c r="R31" s="6"/>
      <c r="S31" s="6"/>
    </row>
    <row r="32" ht="15.0" hidden="1" customHeight="1">
      <c r="A32" s="49" t="s">
        <v>40</v>
      </c>
      <c r="B32" s="50">
        <f t="shared" ref="B32:G32" si="6">B31*B$21/12</f>
        <v>5150.800217</v>
      </c>
      <c r="C32" s="50">
        <f t="shared" si="6"/>
        <v>6995.71992</v>
      </c>
      <c r="D32" s="50">
        <f t="shared" si="6"/>
        <v>8907.526842</v>
      </c>
      <c r="E32" s="50">
        <f t="shared" si="6"/>
        <v>10888.00353</v>
      </c>
      <c r="F32" s="50">
        <f t="shared" si="6"/>
        <v>12938.96364</v>
      </c>
      <c r="G32" s="50">
        <f t="shared" si="6"/>
        <v>15062.25226</v>
      </c>
      <c r="H32" s="2"/>
      <c r="I32" s="6"/>
      <c r="J32" s="6"/>
      <c r="K32" s="6"/>
      <c r="L32" s="6"/>
      <c r="M32" s="6"/>
      <c r="N32" s="2"/>
      <c r="O32" s="6"/>
      <c r="P32" s="6"/>
      <c r="Q32" s="6"/>
      <c r="R32" s="6"/>
      <c r="S32" s="6"/>
    </row>
    <row r="33" ht="15.0" hidden="1" customHeight="1">
      <c r="A33" s="51" t="str">
        <f>"כמה נמשוך כולל הקרן , מהפרישה ועד גיל "&amp;$E$4&amp;""</f>
        <v>כמה נמשוך כולל הקרן , מהפרישה ועד גיל 60</v>
      </c>
      <c r="B33" s="52">
        <f>-PMT(B$21,'תכנון פרישה (מינימום FU money)'!גיל_הפנסיה-'תכנון פרישה (מינימום FU money)'!הגיל_שלנו_2023-'תכנון פרישה (מינימום FU money)'!שנות_עבודה_שנותרו,B31)/12</f>
        <v>9047.038897</v>
      </c>
      <c r="C33" s="52">
        <f>-PMT(C$21,'תכנון פרישה (מינימום FU money)'!גיל_הפנסיה-'תכנון פרישה (מינימום FU money)'!הגיל_שלנו_2023-'תכנון פרישה (מינימום FU money)'!שנות_עבודה_שנותרו,C31)/12</f>
        <v>10394.85316</v>
      </c>
      <c r="D33" s="52">
        <f>-PMT(D$21,'תכנון פרישה (מינימום FU money)'!גיל_הפנסיה-'תכנון פרישה (מינימום FU money)'!הגיל_שלנו_2023-'תכנון פרישה (מינימום FU money)'!שנות_עבודה_שנותרו,D31)/12</f>
        <v>11860.03356</v>
      </c>
      <c r="E33" s="52">
        <f>-PMT(E$21,'תכנון פרישה (מינימום FU money)'!גיל_הפנסיה-'תכנון פרישה (מינימום FU money)'!הגיל_שלנו_2023-'תכנון פרישה (מינימום FU money)'!שנות_עבודה_שנותרו,E31)/12</f>
        <v>13442.19195</v>
      </c>
      <c r="F33" s="52">
        <f>-PMT(F$21,'תכנון פרישה (מינימום FU money)'!גיל_הפנסיה-'תכנון פרישה (מינימום FU money)'!הגיל_שלנו_2023-'תכנון פרישה (מינימום FU money)'!שנות_עבודה_שנותרו,F31)/12</f>
        <v>15140.36174</v>
      </c>
      <c r="G33" s="52">
        <f>-PMT(G$21,'תכנון פרישה (מינימום FU money)'!גיל_הפנסיה-'תכנון פרישה (מינימום FU money)'!הגיל_שלנו_2023-'תכנון פרישה (מינימום FU money)'!שנות_עבודה_שנותרו,G31)/12</f>
        <v>16953.17612</v>
      </c>
      <c r="H33" s="2"/>
      <c r="I33" s="6"/>
      <c r="J33" s="6"/>
      <c r="K33" s="6"/>
      <c r="L33" s="6"/>
      <c r="M33" s="6"/>
      <c r="N33" s="2"/>
      <c r="O33" s="6"/>
      <c r="P33" s="6"/>
      <c r="Q33" s="6"/>
      <c r="R33" s="6"/>
      <c r="S33" s="6"/>
    </row>
    <row r="34" hidden="1">
      <c r="A34" s="47">
        <v>0.3</v>
      </c>
      <c r="B34" s="48">
        <f>-FV(B$21,'תכנון פרישה (מינימום FU money)'!שנות_עבודה_שנותרו,$D$15*12*$A34)+('תכנון פרישה (מינימום FU money)'!חסכון_נוכחי_2023*(1+B$21)^'תכנון פרישה (מינימום FU money)'!שנות_עבודה_שנותרו)</f>
        <v>2456392.371</v>
      </c>
      <c r="C34" s="48">
        <f>-FV(C$21,'תכנון פרישה (מינימום FU money)'!שנות_עבודה_שנותרו,$D$15*12*$A34)+('תכנון פרישה (מינימום FU money)'!חסכון_נוכחי_2023*(1+C$21)^'תכנון פרישה (מינימום FU money)'!שנות_עבודה_שנותרו)</f>
        <v>2501756.803</v>
      </c>
      <c r="D34" s="48">
        <f>-FV(D$21,'תכנון פרישה (מינימום FU money)'!שנות_עבודה_שנותרו,$D$15*12*$A34)+('תכנון פרישה (מינימום FU money)'!חסכון_נוכחי_2023*(1+D$21)^'תכנון פרישה (מינימום FU money)'!שנות_עבודה_שנותרו)</f>
        <v>2547930.405</v>
      </c>
      <c r="E34" s="48">
        <f>-FV(E$21,'תכנון פרישה (מינימום FU money)'!שנות_עבודה_שנותרו,$D$15*12*$A34)+('תכנון פרישה (מינימום FU money)'!חסכון_נוכחי_2023*(1+E$21)^'תכנון פרישה (מינימום FU money)'!שנות_עבודה_שנותרו)</f>
        <v>2594923.652</v>
      </c>
      <c r="F34" s="48">
        <f>-FV(F$21,'תכנון פרישה (מינימום FU money)'!שנות_עבודה_שנותרו,$D$15*12*$A34)+('תכנון פרישה (מינימום FU money)'!חסכון_נוכחי_2023*(1+F$21)^'תכנון פרישה (מינימום FU money)'!שנות_עבודה_שנותרו)</f>
        <v>2642747.093</v>
      </c>
      <c r="G34" s="48">
        <f>-FV(G$21,'תכנון פרישה (מינימום FU money)'!שנות_עבודה_שנותרו,$D$15*12*$A34)+('תכנון פרישה (מינימום FU money)'!חסכון_נוכחי_2023*(1+G$21)^'תכנון פרישה (מינימום FU money)'!שנות_עבודה_שנותרו)</f>
        <v>2691411.344</v>
      </c>
      <c r="H34" s="2"/>
      <c r="I34" s="6"/>
      <c r="J34" s="6"/>
      <c r="K34" s="6"/>
      <c r="L34" s="6"/>
      <c r="M34" s="6"/>
      <c r="N34" s="2"/>
      <c r="O34" s="6"/>
      <c r="P34" s="6"/>
      <c r="Q34" s="6"/>
      <c r="R34" s="6"/>
      <c r="S34" s="6"/>
    </row>
    <row r="35" ht="15.0" hidden="1" customHeight="1">
      <c r="A35" s="49" t="s">
        <v>40</v>
      </c>
      <c r="B35" s="50">
        <f t="shared" ref="B35:G35" si="7">B34*B$21/12</f>
        <v>6140.980927</v>
      </c>
      <c r="C35" s="50">
        <f t="shared" si="7"/>
        <v>8339.189342</v>
      </c>
      <c r="D35" s="50">
        <f t="shared" si="7"/>
        <v>10616.37669</v>
      </c>
      <c r="E35" s="50">
        <f t="shared" si="7"/>
        <v>12974.61826</v>
      </c>
      <c r="F35" s="50">
        <f t="shared" si="7"/>
        <v>15416.02471</v>
      </c>
      <c r="G35" s="50">
        <f t="shared" si="7"/>
        <v>17942.74229</v>
      </c>
      <c r="H35" s="2"/>
      <c r="I35" s="6"/>
      <c r="J35" s="6"/>
      <c r="K35" s="6"/>
      <c r="L35" s="6"/>
      <c r="M35" s="6"/>
      <c r="N35" s="2"/>
      <c r="O35" s="6"/>
      <c r="P35" s="6"/>
      <c r="Q35" s="6"/>
      <c r="R35" s="6"/>
      <c r="S35" s="6"/>
    </row>
    <row r="36" ht="15.0" hidden="1" customHeight="1">
      <c r="A36" s="51" t="str">
        <f>"כמה נמשוך כולל הקרן , מהפרישה ועד גיל "&amp;$E$4&amp;""</f>
        <v>כמה נמשוך כולל הקרן , מהפרישה ועד גיל 60</v>
      </c>
      <c r="B36" s="52">
        <f>-PMT(B$21,'תכנון פרישה (מינימום FU money)'!גיל_הפנסיה-'תכנון פרישה (מינימום FU money)'!הגיל_שלנו_2023-'תכנון פרישה (מינימום FU money)'!שנות_עבודה_שנותרו,B34)/12</f>
        <v>10786.22563</v>
      </c>
      <c r="C36" s="52">
        <f>-PMT(C$21,'תכנון פרישה (מינימום FU money)'!גיל_הפנסיה-'תכנון פרישה (מינימום FU money)'!הגיל_שלנו_2023-'תכנון פרישה (מינימום FU money)'!שנות_עבודה_שנותרו,C34)/12</f>
        <v>12391.09766</v>
      </c>
      <c r="D36" s="52">
        <f>-PMT(D$21,'תכנון פרישה (מינימום FU money)'!גיל_הפנסיה-'תכנון פרישה (מינימום FU money)'!הגיל_שלנו_2023-'תכנון פרישה (מינימום FU money)'!שנות_עבודה_שנותרו,D34)/12</f>
        <v>14135.3022</v>
      </c>
      <c r="E36" s="52">
        <f>-PMT(E$21,'תכנון פרישה (מינימום FU money)'!גיל_הפנסיה-'תכנון פרישה (מינימום FU money)'!הגיל_שלנו_2023-'תכנון פרישה (מינימום FU money)'!שנות_עבודה_שנותרו,E34)/12</f>
        <v>16018.30021</v>
      </c>
      <c r="F36" s="52">
        <f>-PMT(F$21,'תכנון פרישה (מינימום FU money)'!גיל_הפנסיה-'תכנון פרישה (מינימום FU money)'!הגיל_שלנו_2023-'תכנון פרישה (מינימום FU money)'!שנות_עבודה_שנותרו,F34)/12</f>
        <v>18038.86286</v>
      </c>
      <c r="G36" s="52">
        <f>-PMT(G$21,'תכנון פרישה (מינימום FU money)'!גיל_הפנסיה-'תכנון פרישה (מינימום FU money)'!הגיל_שלנו_2023-'תכנון פרישה (מינימום FU money)'!שנות_עבודה_שנותרו,G34)/12</f>
        <v>20195.28454</v>
      </c>
      <c r="H36" s="2"/>
      <c r="I36" s="6"/>
      <c r="J36" s="6"/>
      <c r="K36" s="6"/>
      <c r="L36" s="6"/>
      <c r="M36" s="6"/>
      <c r="N36" s="2"/>
      <c r="O36" s="6"/>
      <c r="P36" s="6"/>
      <c r="Q36" s="6"/>
      <c r="R36" s="6"/>
      <c r="S36" s="6"/>
    </row>
    <row r="37" hidden="1">
      <c r="A37" s="47">
        <v>0.35</v>
      </c>
      <c r="B37" s="48">
        <f>-FV(B$21,'תכנון פרישה (מינימום FU money)'!שנות_עבודה_שנותרו,$D$15*12*$A37)+('תכנון פרישה (מינימום FU money)'!חסכון_נוכחי_2023*(1+B$21)^'תכנון פרישה (מינימום FU money)'!שנות_עבודה_שנותרו)</f>
        <v>2852464.655</v>
      </c>
      <c r="C37" s="48">
        <f>-FV(C$21,'תכנון פרישה (מינימום FU money)'!שנות_עבודה_שנותרו,$D$15*12*$A37)+('תכנון פרישה (מינימום FU money)'!חסכון_נוכחי_2023*(1+C$21)^'תכנון פרישה (מינימום FU money)'!שנות_עבודה_שנותרו)</f>
        <v>2904797.629</v>
      </c>
      <c r="D37" s="48">
        <f>-FV(D$21,'תכנון פרישה (מינימום FU money)'!שנות_עבודה_שנותרו,$D$15*12*$A37)+('תכנון פרישה (מינימום FU money)'!חסכון_נוכחי_2023*(1+D$21)^'תכנון פרישה (מינימום FU money)'!שנות_עבודה_שנותרו)</f>
        <v>2958054.367</v>
      </c>
      <c r="E37" s="48">
        <f>-FV(E$21,'תכנון פרישה (מינימום FU money)'!שנות_עבודה_שנותרו,$D$15*12*$A37)+('תכנון פרישה (מינימום FU money)'!חסכון_נוכחי_2023*(1+E$21)^'תכנון פרישה (מינימום FU money)'!שנות_עבודה_שנותרו)</f>
        <v>3012246.599</v>
      </c>
      <c r="F37" s="48">
        <f>-FV(F$21,'תכנון פרישה (מינימום FU money)'!שנות_עבודה_שנותרו,$D$15*12*$A37)+('תכנון פרישה (מינימום FU money)'!חסכון_נוכחי_2023*(1+F$21)^'תכנון פרישה (מינימום FU money)'!שנות_עבודה_שנותרו)</f>
        <v>3067386.132</v>
      </c>
      <c r="G37" s="48">
        <f>-FV(G$21,'תכנון פרישה (מינימום FU money)'!שנות_עבודה_שנותרו,$D$15*12*$A37)+('תכנון פרישה (מינימום FU money)'!חסכון_נוכחי_2023*(1+G$21)^'תכנון פרישה (מינימום FU money)'!שנות_עבודה_שנותרו)</f>
        <v>3123484.85</v>
      </c>
      <c r="H37" s="2"/>
      <c r="I37" s="6"/>
      <c r="J37" s="6"/>
      <c r="K37" s="6"/>
      <c r="L37" s="6"/>
      <c r="M37" s="6"/>
      <c r="N37" s="2"/>
      <c r="O37" s="6"/>
      <c r="P37" s="6"/>
      <c r="Q37" s="6"/>
      <c r="R37" s="6"/>
      <c r="S37" s="6"/>
    </row>
    <row r="38" ht="15.0" hidden="1" customHeight="1">
      <c r="A38" s="49" t="s">
        <v>40</v>
      </c>
      <c r="B38" s="50">
        <f t="shared" ref="B38:G38" si="8">B37*B$21/12</f>
        <v>7131.161636</v>
      </c>
      <c r="C38" s="50">
        <f t="shared" si="8"/>
        <v>9682.658765</v>
      </c>
      <c r="D38" s="50">
        <f t="shared" si="8"/>
        <v>12325.22653</v>
      </c>
      <c r="E38" s="50">
        <f t="shared" si="8"/>
        <v>15061.233</v>
      </c>
      <c r="F38" s="50">
        <f t="shared" si="8"/>
        <v>17893.08577</v>
      </c>
      <c r="G38" s="50">
        <f t="shared" si="8"/>
        <v>20823.23233</v>
      </c>
      <c r="H38" s="2"/>
      <c r="I38" s="6"/>
      <c r="J38" s="6"/>
      <c r="K38" s="6"/>
      <c r="L38" s="6"/>
      <c r="M38" s="6"/>
      <c r="N38" s="2"/>
      <c r="O38" s="6"/>
      <c r="P38" s="6"/>
      <c r="Q38" s="6"/>
      <c r="R38" s="6"/>
      <c r="S38" s="6"/>
    </row>
    <row r="39" ht="15.0" hidden="1" customHeight="1">
      <c r="A39" s="51" t="str">
        <f>"כמה נמשוך כולל הקרן , מהפרישה ועד גיל "&amp;$E$4&amp;""</f>
        <v>כמה נמשוך כולל הקרן , מהפרישה ועד גיל 60</v>
      </c>
      <c r="B39" s="52">
        <f>-PMT(B$21,'תכנון פרישה (מינימום FU money)'!גיל_הפנסיה-'תכנון פרישה (מינימום FU money)'!הגיל_שלנו_2023-'תכנון פרישה (מינימום FU money)'!שנות_עבודה_שנותרו,B37)/12</f>
        <v>12525.41236</v>
      </c>
      <c r="C39" s="52">
        <f>-PMT(C$21,'תכנון פרישה (מינימום FU money)'!גיל_הפנסיה-'תכנון פרישה (מינימום FU money)'!הגיל_שלנו_2023-'תכנון פרישה (מינימום FU money)'!שנות_עבודה_שנותרו,C37)/12</f>
        <v>14387.34215</v>
      </c>
      <c r="D39" s="52">
        <f>-PMT(D$21,'תכנון פרישה (מינימום FU money)'!גיל_הפנסיה-'תכנון פרישה (מינימום FU money)'!הגיל_שלנו_2023-'תכנון פרישה (מינימום FU money)'!שנות_עבודה_שנותרו,D37)/12</f>
        <v>16410.57084</v>
      </c>
      <c r="E39" s="52">
        <f>-PMT(E$21,'תכנון פרישה (מינימום FU money)'!גיל_הפנסיה-'תכנון פרישה (מינימום FU money)'!הגיל_שלנו_2023-'תכנון פרישה (מינימום FU money)'!שנות_עבודה_שנותרו,E37)/12</f>
        <v>18594.40847</v>
      </c>
      <c r="F39" s="52">
        <f>-PMT(F$21,'תכנון פרישה (מינימום FU money)'!גיל_הפנסיה-'תכנון פרישה (מינימום FU money)'!הגיל_שלנו_2023-'תכנון פרישה (מינימום FU money)'!שנות_עבודה_שנותרו,F37)/12</f>
        <v>20937.36398</v>
      </c>
      <c r="G39" s="52">
        <f>-PMT(G$21,'תכנון פרישה (מינימום FU money)'!גיל_הפנסיה-'תכנון פרישה (מינימום FU money)'!הגיל_שלנו_2023-'תכנון פרישה (מינימום FU money)'!שנות_עבודה_שנותרו,G37)/12</f>
        <v>23437.39296</v>
      </c>
      <c r="H39" s="2"/>
      <c r="I39" s="6"/>
      <c r="J39" s="6"/>
      <c r="K39" s="6"/>
      <c r="L39" s="6"/>
      <c r="M39" s="6"/>
      <c r="N39" s="2"/>
      <c r="O39" s="6"/>
      <c r="P39" s="6"/>
      <c r="Q39" s="6"/>
      <c r="R39" s="6"/>
      <c r="S39" s="6"/>
    </row>
    <row r="40" hidden="1">
      <c r="A40" s="47">
        <v>0.4</v>
      </c>
      <c r="B40" s="48">
        <f>-FV(B$21,'תכנון פרישה (מינימום FU money)'!שנות_עבודה_שנותרו,$D$15*12*$A40)+('תכנון פרישה (מינימום FU money)'!חסכון_נוכחי_2023*(1+B$21)^'תכנון פרישה (מינימום FU money)'!שנות_עבודה_שנותרו)</f>
        <v>3248536.938</v>
      </c>
      <c r="C40" s="48">
        <f>-FV(C$21,'תכנון פרישה (מינימום FU money)'!שנות_עבודה_שנותרו,$D$15*12*$A40)+('תכנון פרישה (מינימום FU money)'!חסכון_נוכחי_2023*(1+C$21)^'תכנון פרישה (מינימום FU money)'!שנות_עבודה_שנותרו)</f>
        <v>3307838.456</v>
      </c>
      <c r="D40" s="48">
        <f>-FV(D$21,'תכנון פרישה (מינימום FU money)'!שנות_עבודה_שנותרו,$D$15*12*$A40)+('תכנון פרישה (מינימום FU money)'!חסכון_נוכחי_2023*(1+D$21)^'תכנון פרישה (מינימום FU money)'!שנות_עבודה_שנותרו)</f>
        <v>3368178.33</v>
      </c>
      <c r="E40" s="48">
        <f>-FV(E$21,'תכנון פרישה (מינימום FU money)'!שנות_עבודה_שנותרו,$D$15*12*$A40)+('תכנון פרישה (מינימום FU money)'!חסכון_נוכחי_2023*(1+E$21)^'תכנון פרישה (מינימום FU money)'!שנות_עבודה_שנותרו)</f>
        <v>3429569.546</v>
      </c>
      <c r="F40" s="48">
        <f>-FV(F$21,'תכנון פרישה (מינימום FU money)'!שנות_עבודה_שנותרו,$D$15*12*$A40)+('תכנון פרישה (מינימום FU money)'!חסכון_נוכחי_2023*(1+F$21)^'תכנון פרישה (מינימום FU money)'!שנות_עבודה_שנותרו)</f>
        <v>3492025.172</v>
      </c>
      <c r="G40" s="48">
        <f>-FV(G$21,'תכנון פרישה (מינימום FU money)'!שנות_עבודה_שנותרו,$D$15*12*$A40)+('תכנון פרישה (מינימום FU money)'!חסכון_נוכחי_2023*(1+G$21)^'תכנון פרישה (מינימום FU money)'!שנות_עבודה_שנותרו)</f>
        <v>3555558.355</v>
      </c>
      <c r="H40" s="2"/>
      <c r="I40" s="6"/>
      <c r="J40" s="6"/>
      <c r="K40" s="6"/>
      <c r="L40" s="6"/>
      <c r="M40" s="6"/>
      <c r="N40" s="2"/>
      <c r="O40" s="6"/>
      <c r="P40" s="6"/>
      <c r="Q40" s="6"/>
      <c r="R40" s="6"/>
      <c r="S40" s="6"/>
    </row>
    <row r="41" ht="14.25" hidden="1" customHeight="1">
      <c r="A41" s="49" t="s">
        <v>40</v>
      </c>
      <c r="B41" s="50">
        <f t="shared" ref="B41:G41" si="9">B40*B$21/12</f>
        <v>8121.342346</v>
      </c>
      <c r="C41" s="50">
        <f t="shared" si="9"/>
        <v>11026.12819</v>
      </c>
      <c r="D41" s="50">
        <f t="shared" si="9"/>
        <v>14034.07637</v>
      </c>
      <c r="E41" s="50">
        <f t="shared" si="9"/>
        <v>17147.84773</v>
      </c>
      <c r="F41" s="50">
        <f t="shared" si="9"/>
        <v>20370.14683</v>
      </c>
      <c r="G41" s="50">
        <f t="shared" si="9"/>
        <v>23703.72237</v>
      </c>
      <c r="H41" s="2"/>
      <c r="I41" s="6"/>
      <c r="J41" s="6"/>
      <c r="K41" s="6"/>
      <c r="L41" s="6"/>
      <c r="M41" s="6"/>
      <c r="N41" s="2"/>
      <c r="O41" s="6"/>
      <c r="P41" s="6"/>
      <c r="Q41" s="6"/>
      <c r="R41" s="6"/>
      <c r="S41" s="6"/>
    </row>
    <row r="42" ht="15.0" hidden="1" customHeight="1">
      <c r="A42" s="51" t="str">
        <f>"כמה נמשוך כולל הקרן , מהפרישה ועד גיל "&amp;$E$4&amp;""</f>
        <v>כמה נמשוך כולל הקרן , מהפרישה ועד גיל 60</v>
      </c>
      <c r="B42" s="52">
        <f>-PMT(B$21,'תכנון פרישה (מינימום FU money)'!גיל_הפנסיה-'תכנון פרישה (מינימום FU money)'!הגיל_שלנו_2023-'תכנון פרישה (מינימום FU money)'!שנות_עבודה_שנותרו,B40)/12</f>
        <v>14264.59909</v>
      </c>
      <c r="C42" s="52">
        <f>-PMT(C$21,'תכנון פרישה (מינימום FU money)'!גיל_הפנסיה-'תכנון פרישה (מינימום FU money)'!הגיל_שלנו_2023-'תכנון פרישה (מינימום FU money)'!שנות_עבודה_שנותרו,C40)/12</f>
        <v>16383.58665</v>
      </c>
      <c r="D42" s="52">
        <f>-PMT(D$21,'תכנון פרישה (מינימום FU money)'!גיל_הפנסיה-'תכנון פרישה (מינימום FU money)'!הגיל_שלנו_2023-'תכנון פרישה (מינימום FU money)'!שנות_עבודה_שנותרו,D40)/12</f>
        <v>18685.83949</v>
      </c>
      <c r="E42" s="52">
        <f>-PMT(E$21,'תכנון פרישה (מינימום FU money)'!גיל_הפנסיה-'תכנון פרישה (מינימום FU money)'!הגיל_שלנו_2023-'תכנון פרישה (מינימום FU money)'!שנות_עבודה_שנותרו,E40)/12</f>
        <v>21170.51673</v>
      </c>
      <c r="F42" s="52">
        <f>-PMT(F$21,'תכנון פרישה (מינימום FU money)'!גיל_הפנסיה-'תכנון פרישה (מינימום FU money)'!הגיל_שלנו_2023-'תכנון פרישה (מינימום FU money)'!שנות_עבודה_שנותרו,F40)/12</f>
        <v>23835.8651</v>
      </c>
      <c r="G42" s="52">
        <f>-PMT(G$21,'תכנון פרישה (מינימום FU money)'!גיל_הפנסיה-'תכנון פרישה (מינימום FU money)'!הגיל_שלנו_2023-'תכנון פרישה (מינימום FU money)'!שנות_עבודה_שנותרו,G40)/12</f>
        <v>26679.50138</v>
      </c>
      <c r="H42" s="2"/>
      <c r="I42" s="6"/>
      <c r="J42" s="6"/>
      <c r="K42" s="6"/>
      <c r="L42" s="6"/>
      <c r="M42" s="6"/>
      <c r="N42" s="2"/>
      <c r="O42" s="6"/>
      <c r="P42" s="6"/>
      <c r="Q42" s="6"/>
      <c r="R42" s="6"/>
      <c r="S42" s="6"/>
    </row>
    <row r="43" hidden="1">
      <c r="A43" s="53">
        <v>0.45</v>
      </c>
      <c r="B43" s="48">
        <f>-FV(B$21,'תכנון פרישה (מינימום FU money)'!שנות_עבודה_שנותרו,$D$15*12*$A43)+('תכנון פרישה (מינימום FU money)'!חסכון_נוכחי_2023*(1+B$21)^'תכנון פרישה (מינימום FU money)'!שנות_עבודה_שנותרו)</f>
        <v>3644609.222</v>
      </c>
      <c r="C43" s="48">
        <f>-FV(C$21,'תכנון פרישה (מינימום FU money)'!שנות_עבודה_שנותרו,$D$15*12*$A43)+('תכנון פרישה (מינימום FU money)'!חסכון_נוכחי_2023*(1+C$21)^'תכנון פרישה (מינימום FU money)'!שנות_עבודה_שנותרו)</f>
        <v>3710879.283</v>
      </c>
      <c r="D43" s="48">
        <f>-FV(D$21,'תכנון פרישה (מינימום FU money)'!שנות_עבודה_שנותרו,$D$15*12*$A43)+('תכנון פרישה (מינימום FU money)'!חסכון_נוכחי_2023*(1+D$21)^'תכנון פרישה (מינימום FU money)'!שנות_עבודה_שנותרו)</f>
        <v>3778302.292</v>
      </c>
      <c r="E43" s="48">
        <f>-FV(E$21,'תכנון פרישה (מינימום FU money)'!שנות_עבודה_שנותרו,$D$15*12*$A43)+('תכנון פרישה (מינימום FU money)'!חסכון_נוכחי_2023*(1+E$21)^'תכנון פרישה (מינימום FU money)'!שנות_עבודה_שנותרו)</f>
        <v>3846892.493</v>
      </c>
      <c r="F43" s="48">
        <f>-FV(F$21,'תכנון פרישה (מינימום FU money)'!שנות_עבודה_שנותרו,$D$15*12*$A43)+('תכנון פרישה (מינימום FU money)'!חסכון_נוכחי_2023*(1+F$21)^'תכנון פרישה (מינימום FU money)'!שנות_עבודה_שנותרו)</f>
        <v>3916664.211</v>
      </c>
      <c r="G43" s="48">
        <f>-FV(G$21,'תכנון פרישה (מינימום FU money)'!שנות_עבודה_שנותרו,$D$15*12*$A43)+('תכנון פרישה (מינימום FU money)'!חסכון_נוכחי_2023*(1+G$21)^'תכנון פרישה (מינימום FU money)'!שנות_עבודה_שנותרו)</f>
        <v>3987631.86</v>
      </c>
      <c r="H43" s="2"/>
      <c r="I43" s="6"/>
      <c r="J43" s="6"/>
      <c r="K43" s="6"/>
      <c r="L43" s="6"/>
      <c r="M43" s="6"/>
      <c r="N43" s="2"/>
      <c r="O43" s="6"/>
      <c r="P43" s="6"/>
      <c r="Q43" s="6"/>
      <c r="R43" s="6"/>
      <c r="S43" s="6"/>
    </row>
    <row r="44" hidden="1">
      <c r="A44" s="49" t="s">
        <v>40</v>
      </c>
      <c r="B44" s="50">
        <f t="shared" ref="B44:G44" si="10">B43*B$21/12</f>
        <v>9111.523055</v>
      </c>
      <c r="C44" s="50">
        <f t="shared" si="10"/>
        <v>12369.59761</v>
      </c>
      <c r="D44" s="50">
        <f t="shared" si="10"/>
        <v>15742.92622</v>
      </c>
      <c r="E44" s="50">
        <f t="shared" si="10"/>
        <v>19234.46246</v>
      </c>
      <c r="F44" s="50">
        <f t="shared" si="10"/>
        <v>22847.2079</v>
      </c>
      <c r="G44" s="50">
        <f t="shared" si="10"/>
        <v>26584.2124</v>
      </c>
      <c r="H44" s="2"/>
      <c r="I44" s="6"/>
      <c r="J44" s="6"/>
      <c r="K44" s="6"/>
      <c r="L44" s="6"/>
      <c r="M44" s="6"/>
      <c r="N44" s="2"/>
      <c r="O44" s="6"/>
      <c r="P44" s="6"/>
      <c r="Q44" s="6"/>
      <c r="R44" s="6"/>
      <c r="S44" s="6"/>
    </row>
    <row r="45" hidden="1">
      <c r="A45" s="51" t="str">
        <f>"כמה נמשוך כולל הקרן , מהפרישה ועד גיל "&amp;$E$4&amp;""</f>
        <v>כמה נמשוך כולל הקרן , מהפרישה ועד גיל 60</v>
      </c>
      <c r="B45" s="52">
        <f>-PMT(B$21,'תכנון פרישה (מינימום FU money)'!גיל_הפנסיה-'תכנון פרישה (מינימום FU money)'!הגיל_שלנו_2023-'תכנון פרישה (מינימום FU money)'!שנות_עבודה_שנותרו,B43)/12</f>
        <v>16003.78582</v>
      </c>
      <c r="C45" s="52">
        <f>-PMT(C$21,'תכנון פרישה (מינימום FU money)'!גיל_הפנסיה-'תכנון פרישה (מינימום FU money)'!הגיל_שלנו_2023-'תכנון פרישה (מינימום FU money)'!שנות_עבודה_שנותרו,C43)/12</f>
        <v>18379.83114</v>
      </c>
      <c r="D45" s="52">
        <f>-PMT(D$21,'תכנון פרישה (מינימום FU money)'!גיל_הפנסיה-'תכנון פרישה (מינימום FU money)'!הגיל_שלנו_2023-'תכנון פרישה (מינימום FU money)'!שנות_עבודה_שנותרו,D43)/12</f>
        <v>20961.10813</v>
      </c>
      <c r="E45" s="52">
        <f>-PMT(E$21,'תכנון פרישה (מינימום FU money)'!גיל_הפנסיה-'תכנון פרישה (מינימום FU money)'!הגיל_שלנו_2023-'תכנון פרישה (מינימום FU money)'!שנות_עבודה_שנותרו,E43)/12</f>
        <v>23746.62498</v>
      </c>
      <c r="F45" s="52">
        <f>-PMT(F$21,'תכנון פרישה (מינימום FU money)'!גיל_הפנסיה-'תכנון פרישה (מינימום FU money)'!הגיל_שלנו_2023-'תכנון פרישה (מינימום FU money)'!שנות_עבודה_שנותרו,F43)/12</f>
        <v>26734.36621</v>
      </c>
      <c r="G45" s="52">
        <f>-PMT(G$21,'תכנון פרישה (מינימום FU money)'!גיל_הפנסיה-'תכנון פרישה (מינימום FU money)'!הגיל_שלנו_2023-'תכנון פרישה (מינימום FU money)'!שנות_עבודה_שנותרו,G43)/12</f>
        <v>29921.60981</v>
      </c>
      <c r="H45" s="2"/>
      <c r="I45" s="6"/>
      <c r="J45" s="6"/>
      <c r="K45" s="6"/>
      <c r="L45" s="6"/>
      <c r="M45" s="6"/>
      <c r="N45" s="2"/>
      <c r="O45" s="6"/>
      <c r="P45" s="6"/>
      <c r="Q45" s="6"/>
      <c r="R45" s="6"/>
      <c r="S45" s="6"/>
    </row>
    <row r="46" hidden="1">
      <c r="A46" s="53">
        <v>0.5</v>
      </c>
      <c r="B46" s="48">
        <f>-FV(B$21,'תכנון פרישה (מינימום FU money)'!שנות_עבודה_שנותרו,$D$15*12*$A46)+('תכנון פרישה (מינימום FU money)'!חסכון_נוכחי_2023*(1+B$21)^'תכנון פרישה (מינימום FU money)'!שנות_עבודה_שנותרו)</f>
        <v>4040681.506</v>
      </c>
      <c r="C46" s="48">
        <f>-FV(C$21,'תכנון פרישה (מינימום FU money)'!שנות_עבודה_שנותרו,$D$15*12*$A46)+('תכנון פרישה (מינימום FU money)'!חסכון_נוכחי_2023*(1+C$21)^'תכנון פרישה (מינימום FU money)'!שנות_עבודה_שנותרו)</f>
        <v>4113920.109</v>
      </c>
      <c r="D46" s="48">
        <f>-FV(D$21,'תכנון פרישה (מינימום FU money)'!שנות_עבודה_שנותרו,$D$15*12*$A46)+('תכנון פרישה (מינימום FU money)'!חסכון_נוכחי_2023*(1+D$21)^'תכנון פרישה (מינימום FU money)'!שנות_עבודה_שנותרו)</f>
        <v>4188426.255</v>
      </c>
      <c r="E46" s="48">
        <f>-FV(E$21,'תכנון פרישה (מינימום FU money)'!שנות_עבודה_שנותרו,$D$15*12*$A46)+('תכנון פרישה (מינימום FU money)'!חסכון_נוכחי_2023*(1+E$21)^'תכנון פרישה (מינימום FU money)'!שנות_עבודה_שנותרו)</f>
        <v>4264215.44</v>
      </c>
      <c r="F46" s="48">
        <f>-FV(F$21,'תכנון פרישה (מינימום FU money)'!שנות_עבודה_שנותרו,$D$15*12*$A46)+('תכנון פרישה (מינימום FU money)'!חסכון_נוכחי_2023*(1+F$21)^'תכנון פרישה (מינימום FU money)'!שנות_עבודה_שנותרו)</f>
        <v>4341303.251</v>
      </c>
      <c r="G46" s="48">
        <f>-FV(G$21,'תכנון פרישה (מינימום FU money)'!שנות_עבודה_שנותרו,$D$15*12*$A46)+('תכנון פרישה (מינימום FU money)'!חסכון_נוכחי_2023*(1+G$21)^'תכנון פרישה (מינימום FU money)'!שנות_עבודה_שנותרו)</f>
        <v>4419705.366</v>
      </c>
      <c r="H46" s="2"/>
      <c r="I46" s="6"/>
      <c r="J46" s="6"/>
      <c r="K46" s="6"/>
      <c r="L46" s="6"/>
      <c r="M46" s="6"/>
      <c r="N46" s="2"/>
      <c r="O46" s="6"/>
      <c r="P46" s="6"/>
      <c r="Q46" s="6"/>
      <c r="R46" s="6"/>
      <c r="S46" s="6"/>
    </row>
    <row r="47" hidden="1">
      <c r="A47" s="49" t="s">
        <v>40</v>
      </c>
      <c r="B47" s="50">
        <f t="shared" ref="B47:G47" si="11">B46*B$21/12</f>
        <v>10101.70376</v>
      </c>
      <c r="C47" s="50">
        <f t="shared" si="11"/>
        <v>13713.06703</v>
      </c>
      <c r="D47" s="50">
        <f t="shared" si="11"/>
        <v>17451.77606</v>
      </c>
      <c r="E47" s="50">
        <f t="shared" si="11"/>
        <v>21321.0772</v>
      </c>
      <c r="F47" s="50">
        <f t="shared" si="11"/>
        <v>25324.26896</v>
      </c>
      <c r="G47" s="50">
        <f t="shared" si="11"/>
        <v>29464.70244</v>
      </c>
      <c r="H47" s="2"/>
      <c r="I47" s="6"/>
      <c r="J47" s="6"/>
      <c r="K47" s="6"/>
      <c r="L47" s="6"/>
      <c r="M47" s="6"/>
      <c r="N47" s="2"/>
      <c r="O47" s="6"/>
      <c r="P47" s="6"/>
      <c r="Q47" s="6"/>
      <c r="R47" s="6"/>
      <c r="S47" s="6"/>
    </row>
    <row r="48" hidden="1">
      <c r="A48" s="51" t="str">
        <f>"כמה נמשוך כולל הקרן , מהפרישה ועד גיל "&amp;$E$4&amp;""</f>
        <v>כמה נמשוך כולל הקרן , מהפרישה ועד גיל 60</v>
      </c>
      <c r="B48" s="52">
        <f>-PMT(B$21,'תכנון פרישה (מינימום FU money)'!גיל_הפנסיה-'תכנון פרישה (מינימום FU money)'!הגיל_שלנו_2023-'תכנון פרישה (מינימום FU money)'!שנות_עבודה_שנותרו,B46)/12</f>
        <v>17742.97255</v>
      </c>
      <c r="C48" s="52">
        <f>-PMT(C$21,'תכנון פרישה (מינימום FU money)'!גיל_הפנסיה-'תכנון פרישה (מינימום FU money)'!הגיל_שלנו_2023-'תכנון פרישה (מינימום FU money)'!שנות_עבודה_שנותרו,C46)/12</f>
        <v>20376.07563</v>
      </c>
      <c r="D48" s="52">
        <f>-PMT(D$21,'תכנון פרישה (מינימום FU money)'!גיל_הפנסיה-'תכנון פרישה (מינימום FU money)'!הגיל_שלנו_2023-'תכנון פרישה (מינימום FU money)'!שנות_עבודה_שנותרו,D46)/12</f>
        <v>23236.37677</v>
      </c>
      <c r="E48" s="52">
        <f>-PMT(E$21,'תכנון פרישה (מינימום FU money)'!גיל_הפנסיה-'תכנון פרישה (מינימום FU money)'!הגיל_שלנו_2023-'תכנון פרישה (מינימום FU money)'!שנות_עבודה_שנותרו,E46)/12</f>
        <v>26322.73324</v>
      </c>
      <c r="F48" s="54">
        <f>-PMT(F$21,'תכנון פרישה (מינימום FU money)'!גיל_הפנסיה-'תכנון פרישה (מינימום FU money)'!הגיל_שלנו_2023-'תכנון פרישה (מינימום FU money)'!שנות_עבודה_שנותרו,F46)/12</f>
        <v>29632.86733</v>
      </c>
      <c r="G48" s="52">
        <f>-PMT(G$21,'תכנון פרישה (מינימום FU money)'!גיל_הפנסיה-'תכנון פרישה (מינימום FU money)'!הגיל_שלנו_2023-'תכנון פרישה (מינימום FU money)'!שנות_עבודה_שנותרו,G46)/12</f>
        <v>33163.71823</v>
      </c>
      <c r="H48" s="2"/>
      <c r="I48" s="6"/>
      <c r="J48" s="6"/>
      <c r="K48" s="6"/>
      <c r="L48" s="6"/>
      <c r="M48" s="6"/>
      <c r="N48" s="2"/>
      <c r="O48" s="6"/>
      <c r="P48" s="6"/>
      <c r="Q48" s="6"/>
      <c r="R48" s="6"/>
      <c r="S48" s="6"/>
    </row>
    <row r="49">
      <c r="A49" s="6"/>
      <c r="B49" s="6"/>
      <c r="C49" s="6"/>
      <c r="D49" s="6"/>
      <c r="E49" s="6"/>
      <c r="F49" s="19"/>
      <c r="G49" s="6"/>
      <c r="H49" s="2"/>
      <c r="I49" s="6"/>
      <c r="J49" s="6"/>
      <c r="K49" s="6"/>
      <c r="L49" s="6"/>
      <c r="M49" s="6"/>
      <c r="N49" s="2"/>
      <c r="O49" s="6"/>
      <c r="P49" s="6"/>
      <c r="Q49" s="6"/>
      <c r="R49" s="6"/>
      <c r="S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</row>
  </sheetData>
  <mergeCells count="13">
    <mergeCell ref="D4:D5"/>
    <mergeCell ref="E4:E5"/>
    <mergeCell ref="D14:F14"/>
    <mergeCell ref="D15:F15"/>
    <mergeCell ref="A20:G20"/>
    <mergeCell ref="K23:K25"/>
    <mergeCell ref="A1:G1"/>
    <mergeCell ref="I1:M1"/>
    <mergeCell ref="O1:R1"/>
    <mergeCell ref="A2:A3"/>
    <mergeCell ref="B2:B3"/>
    <mergeCell ref="D2:D3"/>
    <mergeCell ref="E2:E3"/>
  </mergeCells>
  <conditionalFormatting sqref="A22:A24 B22:G48">
    <cfRule type="expression" dxfId="0" priority="1">
      <formula>"F8 &lt; A20"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75"/>
  <cols>
    <col customWidth="1" min="1" max="1" width="44.5"/>
    <col customWidth="1" min="2" max="3" width="12.75"/>
    <col customWidth="1" min="4" max="4" width="31.88"/>
    <col customWidth="1" min="5" max="5" width="15.38"/>
    <col customWidth="1" min="6" max="7" width="12.88"/>
    <col customWidth="1" min="8" max="8" width="9.5"/>
    <col customWidth="1" min="9" max="9" width="7.88"/>
    <col customWidth="1" min="10" max="10" width="13.38"/>
    <col customWidth="1" min="11" max="11" width="18.63"/>
    <col customWidth="1" min="12" max="12" width="13.25"/>
    <col customWidth="1" min="13" max="15" width="7.88"/>
    <col customWidth="1" min="16" max="16" width="9.5"/>
    <col customWidth="1" min="17" max="17" width="17.75"/>
    <col customWidth="1" min="18" max="19" width="7.88"/>
  </cols>
  <sheetData>
    <row r="1">
      <c r="A1" s="1" t="s">
        <v>0</v>
      </c>
      <c r="H1" s="2"/>
      <c r="I1" s="3" t="s">
        <v>1</v>
      </c>
      <c r="N1" s="2"/>
      <c r="O1" s="3" t="s">
        <v>2</v>
      </c>
      <c r="S1" s="3"/>
    </row>
    <row r="2" ht="19.5" customHeight="1">
      <c r="A2" s="4" t="s">
        <v>3</v>
      </c>
      <c r="B2" s="5">
        <v>8.0</v>
      </c>
      <c r="C2" s="6"/>
      <c r="D2" s="7" t="s">
        <v>44</v>
      </c>
      <c r="E2" s="5">
        <f>'תכנון פרישה'!E2</f>
        <v>30000</v>
      </c>
      <c r="F2" s="6"/>
      <c r="G2" s="6"/>
      <c r="H2" s="2"/>
      <c r="I2" s="6"/>
      <c r="J2" s="6"/>
      <c r="K2" s="8" t="s">
        <v>5</v>
      </c>
      <c r="L2" s="8" t="s">
        <v>6</v>
      </c>
      <c r="M2" s="6"/>
      <c r="N2" s="2"/>
      <c r="O2" s="6"/>
      <c r="P2" s="6"/>
      <c r="Q2" s="8" t="s">
        <v>7</v>
      </c>
      <c r="R2" s="6"/>
      <c r="S2" s="6"/>
    </row>
    <row r="3" ht="23.25" customHeight="1">
      <c r="A3" s="9"/>
      <c r="B3" s="9"/>
      <c r="C3" s="6"/>
      <c r="D3" s="9"/>
      <c r="E3" s="9"/>
      <c r="F3" s="6"/>
      <c r="G3" s="6"/>
      <c r="H3" s="2"/>
      <c r="I3" s="6"/>
      <c r="J3" s="10" t="s">
        <v>8</v>
      </c>
      <c r="K3" s="11">
        <f>(8.33%+6%+6.5%)*'תכנון פרישה (מקסימום תשואה)'!השכר_הסוציאלי_2023-'תכנון פרישה (מקסימום תשואה)'!תקרת_הפקדה_לפנסיה_בשנת_2023</f>
        <v>4507.5</v>
      </c>
      <c r="L3" s="12">
        <f>fv($B$4,$B$2,-K3*12)+'תכנון פרישה (מקסימום תשואה)'!קופת_גמל*(1+$B$4)^$B$2</f>
        <v>554952.721</v>
      </c>
      <c r="M3" s="6"/>
      <c r="N3" s="2"/>
      <c r="O3" s="6"/>
      <c r="P3" s="10" t="s">
        <v>8</v>
      </c>
      <c r="Q3" s="12">
        <f>L3*(1+'תכנון פרישה (מקסימום תשואה)'!תשואה_ריאלית)^('תכנון פרישה (מקסימום תשואה)'!גיל_הפנסיה-'תכנון פרישה (מקסימום תשואה)'!שנות_עבודה_שנותרו-'תכנון פרישה (מקסימום תשואה)'!הגיל_שלנו_2023)</f>
        <v>3011968.511</v>
      </c>
      <c r="R3" s="6"/>
      <c r="S3" s="6"/>
    </row>
    <row r="4">
      <c r="A4" s="13" t="s">
        <v>9</v>
      </c>
      <c r="B4" s="14">
        <v>0.07</v>
      </c>
      <c r="C4" s="6"/>
      <c r="D4" s="7" t="s">
        <v>10</v>
      </c>
      <c r="E4" s="5">
        <v>60.0</v>
      </c>
      <c r="F4" s="6"/>
      <c r="G4" s="6"/>
      <c r="H4" s="2"/>
      <c r="I4" s="6"/>
      <c r="J4" s="10" t="s">
        <v>11</v>
      </c>
      <c r="K4" s="11">
        <v>4866.0</v>
      </c>
      <c r="L4" s="12">
        <f>fv($B$4,$B$2,-K4*12)+'תכנון פרישה (מקסימום תשואה)'!קרן_פנסיה*(1+$B$4)^$B$2</f>
        <v>856818.3186</v>
      </c>
      <c r="M4" s="6"/>
      <c r="N4" s="2"/>
      <c r="O4" s="6"/>
      <c r="P4" s="10" t="s">
        <v>11</v>
      </c>
      <c r="Q4" s="12">
        <f>L4*(1+'תכנון פרישה (מקסימום תשואה)'!תשואה_ריאלית)^('תכנון פרישה (מקסימום תשואה)'!גיל_הפנסיה-'תכנון פרישה (מקסימום תשואה)'!שנות_עבודה_שנותרו-'תכנון פרישה (מקסימום תשואה)'!הגיל_שלנו_2023)</f>
        <v>4650323.709</v>
      </c>
      <c r="R4" s="6"/>
      <c r="S4" s="6"/>
    </row>
    <row r="5">
      <c r="A5" s="13" t="s">
        <v>12</v>
      </c>
      <c r="B5" s="15">
        <f>'תכנון פרישה'!B5</f>
        <v>70000</v>
      </c>
      <c r="C5" s="6"/>
      <c r="D5" s="9"/>
      <c r="E5" s="9"/>
      <c r="F5" s="6"/>
      <c r="G5" s="6"/>
      <c r="H5" s="2"/>
      <c r="I5" s="6"/>
      <c r="J5" s="16" t="s">
        <v>13</v>
      </c>
      <c r="K5" s="17">
        <f>1571*2</f>
        <v>3142</v>
      </c>
      <c r="L5" s="18">
        <f t="shared" ref="L5:L6" si="1">fv($B$4,$B$2,-K5*12)+B5*(1+$B$4)^$B$2</f>
        <v>507108.6287</v>
      </c>
      <c r="M5" s="6"/>
      <c r="N5" s="2"/>
      <c r="O5" s="6"/>
      <c r="P5" s="8"/>
      <c r="Q5" s="19"/>
      <c r="R5" s="6"/>
      <c r="S5" s="6"/>
    </row>
    <row r="6">
      <c r="A6" s="13" t="s">
        <v>14</v>
      </c>
      <c r="B6" s="15">
        <f>'תכנון פרישה'!B6</f>
        <v>100000</v>
      </c>
      <c r="C6" s="6"/>
      <c r="D6" s="6"/>
      <c r="E6" s="20"/>
      <c r="F6" s="20"/>
      <c r="G6" s="6"/>
      <c r="H6" s="2"/>
      <c r="I6" s="6"/>
      <c r="J6" s="16" t="s">
        <v>14</v>
      </c>
      <c r="K6" s="21">
        <f>-E12-sum(K3:K5)</f>
        <v>59966.92655</v>
      </c>
      <c r="L6" s="18">
        <f t="shared" si="1"/>
        <v>7554804.542</v>
      </c>
      <c r="M6" s="6"/>
      <c r="N6" s="2"/>
      <c r="O6" s="6"/>
      <c r="P6" s="10" t="s">
        <v>45</v>
      </c>
      <c r="Q6" s="12">
        <f>SUM(Q3:Q4)/(202+4*(67-E4))</f>
        <v>33314.314</v>
      </c>
      <c r="R6" s="6"/>
      <c r="S6" s="6"/>
    </row>
    <row r="7">
      <c r="A7" s="13" t="s">
        <v>11</v>
      </c>
      <c r="B7" s="15">
        <f>'תכנון פרישה'!B7</f>
        <v>150000</v>
      </c>
      <c r="C7" s="6"/>
      <c r="D7" s="6"/>
      <c r="E7" s="20"/>
      <c r="F7" s="20"/>
      <c r="G7" s="6"/>
      <c r="H7" s="2"/>
      <c r="I7" s="6"/>
      <c r="J7" s="6"/>
      <c r="K7" s="22"/>
      <c r="L7" s="6"/>
      <c r="M7" s="6"/>
      <c r="N7" s="2"/>
      <c r="O7" s="6"/>
      <c r="P7" s="6"/>
      <c r="Q7" s="6"/>
      <c r="R7" s="6"/>
      <c r="S7" s="6"/>
    </row>
    <row r="8">
      <c r="A8" s="13" t="s">
        <v>16</v>
      </c>
      <c r="B8" s="15" t="str">
        <f>'תכנון פרישה'!B8</f>
        <v/>
      </c>
      <c r="C8" s="6"/>
      <c r="D8" s="6"/>
      <c r="E8" s="20"/>
      <c r="F8" s="20"/>
      <c r="G8" s="6"/>
      <c r="H8" s="2"/>
      <c r="I8" s="6"/>
      <c r="J8" s="8" t="s">
        <v>17</v>
      </c>
      <c r="K8" s="18">
        <f>L5+L6</f>
        <v>8061913.171</v>
      </c>
      <c r="L8" s="6"/>
      <c r="M8" s="6"/>
      <c r="N8" s="2"/>
      <c r="O8" s="6"/>
      <c r="P8" s="6"/>
      <c r="R8" s="6"/>
      <c r="S8" s="6"/>
    </row>
    <row r="9">
      <c r="A9" s="23" t="s">
        <v>18</v>
      </c>
      <c r="B9" s="24">
        <f>'תכנון פרישה'!B9</f>
        <v>0.045</v>
      </c>
      <c r="C9" s="6"/>
      <c r="D9" s="6"/>
      <c r="E9" s="20" t="s">
        <v>19</v>
      </c>
      <c r="F9" s="20" t="s">
        <v>20</v>
      </c>
      <c r="G9" s="6"/>
      <c r="H9" s="2"/>
      <c r="I9" s="6"/>
      <c r="J9" s="8" t="s">
        <v>21</v>
      </c>
      <c r="K9" s="25">
        <f>E4-B2-B14</f>
        <v>25</v>
      </c>
      <c r="L9" s="8" t="s">
        <v>22</v>
      </c>
      <c r="M9" s="6"/>
      <c r="N9" s="2"/>
      <c r="O9" s="6"/>
      <c r="P9" s="6"/>
    </row>
    <row r="10">
      <c r="A10" s="13" t="s">
        <v>23</v>
      </c>
      <c r="B10" s="15">
        <f>'תכנון פרישה'!B10</f>
        <v>900000</v>
      </c>
      <c r="C10" s="6"/>
      <c r="D10" s="23" t="s">
        <v>24</v>
      </c>
      <c r="E10" s="26">
        <f>PMT(B9,$B$2,B10)/12</f>
        <v>-11370.724</v>
      </c>
      <c r="F10" s="27">
        <f t="shared" ref="F10:F12" si="2">-E10/$D$15</f>
        <v>0.0998718432</v>
      </c>
      <c r="G10" s="6"/>
      <c r="H10" s="2"/>
      <c r="I10" s="6"/>
      <c r="J10" s="8" t="s">
        <v>25</v>
      </c>
      <c r="K10" s="28">
        <f>E2*12/K8</f>
        <v>0.04465441296</v>
      </c>
      <c r="L10" s="8" t="s">
        <v>26</v>
      </c>
      <c r="M10" s="6"/>
      <c r="N10" s="2"/>
      <c r="O10" s="6"/>
      <c r="P10" s="6"/>
      <c r="Q10" s="6"/>
      <c r="R10" s="6"/>
      <c r="S10" s="6"/>
    </row>
    <row r="11" hidden="1">
      <c r="A11" s="13" t="s">
        <v>27</v>
      </c>
      <c r="B11" s="29">
        <f>E2*12*('תכנון פרישה (מקסימום תשואה)'!גיל_הפנסיה-'תכנון פרישה (מקסימום תשואה)'!הגיל_שלנו_2023-'תכנון פרישה (מקסימום תשואה)'!שנות_עבודה_שנותרו)</f>
        <v>9000000</v>
      </c>
      <c r="C11" s="6"/>
      <c r="D11" s="23" t="s">
        <v>28</v>
      </c>
      <c r="E11" s="30">
        <f>PMT($B$4,$B$2, ,B11-($B$5*(1+$B$4)^$B$2))/12</f>
        <v>-72123.92659</v>
      </c>
      <c r="F11" s="27">
        <f t="shared" si="2"/>
        <v>0.6334820446</v>
      </c>
      <c r="G11" s="6"/>
      <c r="H11" s="2"/>
      <c r="I11" s="6"/>
      <c r="M11" s="6"/>
      <c r="N11" s="2"/>
      <c r="O11" s="6"/>
      <c r="P11" s="6"/>
      <c r="R11" s="6"/>
      <c r="S11" s="6"/>
    </row>
    <row r="12">
      <c r="A12" s="13" t="s">
        <v>29</v>
      </c>
      <c r="B12" s="31">
        <f>E2*12/'תכנון פרישה (מקסימום תשואה)'!שיעור_משיכה_בטוח</f>
        <v>9473684.211</v>
      </c>
      <c r="C12" s="6"/>
      <c r="D12" s="23" t="s">
        <v>28</v>
      </c>
      <c r="E12" s="32">
        <f>PMT($B$4,$B$2, ,B12-(($B$5+$B$6+$B$7+$B$8)*(1+$B$4)^$B$2))/12</f>
        <v>-72482.42655</v>
      </c>
      <c r="F12" s="27">
        <f t="shared" si="2"/>
        <v>0.6366308372</v>
      </c>
      <c r="G12" s="6"/>
      <c r="H12" s="2"/>
      <c r="I12" s="6"/>
      <c r="J12" s="6"/>
      <c r="K12" s="6"/>
      <c r="L12" s="6"/>
      <c r="M12" s="6"/>
      <c r="N12" s="2"/>
      <c r="O12" s="6"/>
      <c r="P12" s="6"/>
      <c r="Q12" s="6"/>
      <c r="R12" s="6"/>
      <c r="S12" s="6"/>
    </row>
    <row r="13">
      <c r="A13" s="13" t="s">
        <v>30</v>
      </c>
      <c r="B13" s="15">
        <f>'תכנון פרישה'!B13</f>
        <v>45000</v>
      </c>
      <c r="C13" s="6"/>
      <c r="D13" s="6"/>
      <c r="E13" s="33"/>
      <c r="F13" s="6"/>
      <c r="G13" s="6"/>
      <c r="H13" s="2"/>
      <c r="I13" s="6"/>
      <c r="J13" s="6"/>
      <c r="K13" s="6"/>
      <c r="L13" s="6"/>
      <c r="M13" s="6"/>
      <c r="N13" s="2"/>
      <c r="O13" s="6"/>
      <c r="P13" s="6"/>
      <c r="Q13" s="6"/>
      <c r="R13" s="6"/>
      <c r="S13" s="6"/>
    </row>
    <row r="14">
      <c r="A14" s="13" t="s">
        <v>31</v>
      </c>
      <c r="B14" s="15">
        <f>'תכנון פרישה'!B14</f>
        <v>27</v>
      </c>
      <c r="C14" s="6"/>
      <c r="D14" s="34" t="s">
        <v>46</v>
      </c>
      <c r="E14" s="35"/>
      <c r="F14" s="36"/>
      <c r="G14" s="6"/>
      <c r="H14" s="2"/>
      <c r="I14" s="6"/>
      <c r="J14" s="6"/>
      <c r="K14" s="6"/>
      <c r="L14" s="6"/>
      <c r="M14" s="6"/>
      <c r="N14" s="2"/>
      <c r="O14" s="6"/>
      <c r="P14" s="6"/>
      <c r="Q14" s="6"/>
      <c r="R14" s="6"/>
      <c r="S14" s="6"/>
    </row>
    <row r="15">
      <c r="A15" s="13" t="s">
        <v>33</v>
      </c>
      <c r="B15" s="14">
        <v>0.038</v>
      </c>
      <c r="C15" s="6"/>
      <c r="D15" s="38">
        <f>E2-E10-E12</f>
        <v>113853.1505</v>
      </c>
      <c r="E15" s="39"/>
      <c r="F15" s="40"/>
      <c r="G15" s="6"/>
      <c r="H15" s="2"/>
      <c r="I15" s="6"/>
      <c r="J15" s="20"/>
      <c r="K15" s="6"/>
      <c r="L15" s="6"/>
      <c r="M15" s="6"/>
      <c r="N15" s="2"/>
      <c r="O15" s="6"/>
      <c r="P15" s="20"/>
      <c r="Q15" s="6"/>
      <c r="R15" s="6"/>
      <c r="S15" s="6"/>
    </row>
    <row r="16">
      <c r="A16" s="6"/>
      <c r="B16" s="6"/>
      <c r="C16" s="6"/>
      <c r="D16" s="13" t="s">
        <v>34</v>
      </c>
      <c r="E16" s="13" t="s">
        <v>35</v>
      </c>
      <c r="F16" s="41" t="s">
        <v>36</v>
      </c>
      <c r="G16" s="6"/>
      <c r="H16" s="2"/>
      <c r="I16" s="6"/>
      <c r="J16" s="20"/>
      <c r="K16" s="6"/>
      <c r="L16" s="6"/>
      <c r="M16" s="6"/>
      <c r="N16" s="2"/>
      <c r="O16" s="6"/>
      <c r="P16" s="20"/>
      <c r="Q16" s="6"/>
      <c r="R16" s="6"/>
      <c r="S16" s="6"/>
    </row>
    <row r="17">
      <c r="A17" s="6"/>
      <c r="B17" s="6"/>
      <c r="C17" s="6"/>
      <c r="D17" s="42">
        <f>55%*B13</f>
        <v>24750</v>
      </c>
      <c r="E17" s="42">
        <f>(20.833%)*B13+1571*2</f>
        <v>12516.85</v>
      </c>
      <c r="F17" s="42">
        <f>D15-D17-E17</f>
        <v>76586.30054</v>
      </c>
      <c r="G17" s="6"/>
      <c r="H17" s="2"/>
      <c r="I17" s="6"/>
      <c r="J17" s="20"/>
      <c r="K17" s="6"/>
      <c r="L17" s="6"/>
      <c r="M17" s="6"/>
      <c r="N17" s="2"/>
      <c r="O17" s="6"/>
      <c r="P17" s="20"/>
      <c r="Q17" s="6"/>
      <c r="R17" s="6"/>
      <c r="S17" s="6"/>
    </row>
    <row r="18">
      <c r="A18" s="6"/>
      <c r="B18" s="6"/>
      <c r="C18" s="6"/>
      <c r="D18" s="6"/>
      <c r="E18" s="6"/>
      <c r="F18" s="6"/>
      <c r="G18" s="6"/>
      <c r="H18" s="2"/>
      <c r="I18" s="6"/>
      <c r="J18" s="6"/>
      <c r="K18" s="6"/>
      <c r="L18" s="6"/>
      <c r="M18" s="6"/>
      <c r="N18" s="2"/>
      <c r="O18" s="6"/>
      <c r="P18" s="6"/>
      <c r="Q18" s="6"/>
      <c r="R18" s="6"/>
      <c r="S18" s="6"/>
    </row>
    <row r="19">
      <c r="A19" s="6"/>
      <c r="B19" s="6"/>
      <c r="C19" s="6"/>
      <c r="D19" s="6"/>
      <c r="E19" s="8" t="s">
        <v>37</v>
      </c>
      <c r="F19" s="42">
        <f>F17*12*2/3.7</f>
        <v>496776.0035</v>
      </c>
      <c r="G19" s="6"/>
      <c r="H19" s="2"/>
      <c r="I19" s="6"/>
      <c r="J19" s="6"/>
      <c r="K19" s="6"/>
      <c r="L19" s="6"/>
      <c r="M19" s="6"/>
      <c r="N19" s="2"/>
      <c r="O19" s="6"/>
      <c r="P19" s="6"/>
      <c r="Q19" s="6"/>
      <c r="R19" s="6"/>
      <c r="S19" s="6"/>
    </row>
    <row r="20" hidden="1">
      <c r="A20" s="43" t="s">
        <v>38</v>
      </c>
      <c r="B20" s="39"/>
      <c r="C20" s="39"/>
      <c r="D20" s="39"/>
      <c r="E20" s="39"/>
      <c r="F20" s="39"/>
      <c r="G20" s="40"/>
      <c r="H20" s="2"/>
      <c r="I20" s="6"/>
      <c r="J20" s="6"/>
      <c r="K20" s="6"/>
      <c r="L20" s="6"/>
      <c r="M20" s="6"/>
      <c r="N20" s="2"/>
      <c r="O20" s="6"/>
      <c r="P20" s="6"/>
      <c r="Q20" s="6"/>
      <c r="R20" s="6"/>
      <c r="S20" s="6"/>
    </row>
    <row r="21" hidden="1">
      <c r="A21" s="44" t="s">
        <v>39</v>
      </c>
      <c r="B21" s="45">
        <v>0.03</v>
      </c>
      <c r="C21" s="45">
        <v>0.04</v>
      </c>
      <c r="D21" s="45">
        <v>0.05</v>
      </c>
      <c r="E21" s="45">
        <v>0.06</v>
      </c>
      <c r="F21" s="45">
        <v>0.07</v>
      </c>
      <c r="G21" s="46">
        <v>0.08</v>
      </c>
      <c r="H21" s="2"/>
      <c r="I21" s="6"/>
      <c r="J21" s="6"/>
      <c r="K21" s="6"/>
      <c r="L21" s="6"/>
      <c r="M21" s="6"/>
      <c r="N21" s="2"/>
      <c r="O21" s="6"/>
      <c r="P21" s="6"/>
      <c r="Q21" s="6"/>
      <c r="R21" s="6"/>
      <c r="S21" s="6"/>
    </row>
    <row r="22" hidden="1">
      <c r="A22" s="47">
        <v>0.1</v>
      </c>
      <c r="B22" s="48">
        <f>-FV(B$21,'תכנון פרישה (מקסימום תשואה)'!שנות_עבודה_שנותרו,$D$15*12*$A22)+('תכנון פרישה (מקסימום תשואה)'!חסכון_נוכחי_2023*(1+B$21)^'תכנון פרישה (מקסימום תשואה)'!שנות_עבודה_שנותרו)</f>
        <v>1303578.475</v>
      </c>
      <c r="C22" s="48">
        <f>-FV(C$21,'תכנון פרישה (מקסימום תשואה)'!שנות_עבודה_שנותרו,$D$15*12*$A22)+('תכנון פרישה (מקסימום תשואה)'!חסכון_נוכחי_2023*(1+C$21)^'תכנון פרישה (מקסימום תשואה)'!שנות_עבודה_שנותרו)</f>
        <v>1354682.261</v>
      </c>
      <c r="D22" s="48">
        <f>-FV(D$21,'תכנון פרישה (מקסימום תשואה)'!שנות_עבודה_שנותרו,$D$15*12*$A22)+('תכנון פרישה (מקסימום תשואה)'!חסכון_נוכחי_2023*(1+D$21)^'תכנון פרישה (מקסימום תשואה)'!שנות_עבודה_שנותרו)</f>
        <v>1408057.238</v>
      </c>
      <c r="E22" s="48">
        <f>-FV(E$21,'תכנון פרישה (מקסימום תשואה)'!שנות_עבודה_שנותרו,$D$15*12*$A22)+('תכנון פרישה (מקסימום תשואה)'!חסכון_נוכחי_2023*(1+E$21)^'תכנון פרישה (מקסימום תשואה)'!שנות_עבודה_שנותרו)</f>
        <v>1463798.85</v>
      </c>
      <c r="F22" s="48">
        <f>-FV(F$21,'תכנון פרישה (מקסימום תשואה)'!שנות_עבודה_שנותרו,$D$15*12*$A22)+('תכנון פרישה (מקסימום תשואה)'!חסכון_נוכחי_2023*(1+F$21)^'תכנון פרישה (מקסימום תשואה)'!שנות_עבודה_שנותרו)</f>
        <v>1522006.048</v>
      </c>
      <c r="G22" s="48">
        <f>-FV(G$21,'תכנון פרישה (מקסימום תשואה)'!שנות_עבודה_שנותרו,$D$15*12*$A22)+('תכנון פרישה (מקסימום תשואה)'!חסכון_נוכחי_2023*(1+G$21)^'תכנון פרישה (מקסימום תשואה)'!שנות_עבודה_שנותרו)</f>
        <v>1582781.395</v>
      </c>
      <c r="H22" s="2"/>
      <c r="I22" s="6"/>
      <c r="J22" s="6"/>
      <c r="K22" s="6"/>
      <c r="L22" s="6"/>
      <c r="M22" s="6"/>
      <c r="N22" s="2"/>
      <c r="O22" s="6"/>
      <c r="P22" s="6"/>
      <c r="Q22" s="6"/>
      <c r="R22" s="6"/>
      <c r="S22" s="6"/>
    </row>
    <row r="23" ht="15.0" hidden="1" customHeight="1">
      <c r="A23" s="49" t="s">
        <v>40</v>
      </c>
      <c r="B23" s="50">
        <f t="shared" ref="B23:G23" si="3">B22*B$21/12</f>
        <v>3258.946188</v>
      </c>
      <c r="C23" s="50">
        <f t="shared" si="3"/>
        <v>4515.607537</v>
      </c>
      <c r="D23" s="50">
        <f t="shared" si="3"/>
        <v>5866.905156</v>
      </c>
      <c r="E23" s="50">
        <f t="shared" si="3"/>
        <v>7318.994249</v>
      </c>
      <c r="F23" s="50">
        <f t="shared" si="3"/>
        <v>8878.368615</v>
      </c>
      <c r="G23" s="50">
        <f t="shared" si="3"/>
        <v>10551.87596</v>
      </c>
      <c r="H23" s="2"/>
      <c r="I23" s="6"/>
      <c r="J23" s="6"/>
      <c r="K23" s="6"/>
      <c r="L23" s="6"/>
      <c r="M23" s="6"/>
      <c r="N23" s="2"/>
      <c r="O23" s="6"/>
      <c r="P23" s="6"/>
      <c r="Q23" s="6"/>
      <c r="R23" s="6"/>
      <c r="S23" s="6"/>
    </row>
    <row r="24" ht="15.0" hidden="1" customHeight="1">
      <c r="A24" s="51" t="str">
        <f>"כמה נמשוך כולל הקרן , מהפרישה ועד גיל "&amp;$E$4&amp;""</f>
        <v>כמה נמשוך כולל הקרן , מהפרישה ועד גיל 60</v>
      </c>
      <c r="B24" s="52">
        <f>-PMT(B$21,'תכנון פרישה (מקסימום תשואה)'!גיל_הפנסיה-'תכנון פרישה (מקסימום תשואה)'!הגיל_שלנו_2023-'תכנון פרישה (מקסימום תשואה)'!שנות_עבודה_שנותרו,B22)/12</f>
        <v>6238.478047</v>
      </c>
      <c r="C24" s="52">
        <f>-PMT(C$21,'תכנון פרישה (מקסימום תשואה)'!גיל_הפנסיה-'תכנון פרישה (מקסימום תשואה)'!הגיל_שלנו_2023-'תכנון פרישה (מקסימום תשואה)'!שנות_עבודה_שנותרו,C22)/12</f>
        <v>7226.32254</v>
      </c>
      <c r="D24" s="52">
        <f>-PMT(D$21,'תכנון פרישה (מקסימום תשואה)'!גיל_הפנסיה-'תכנון פרישה (מקסימום תשואה)'!הגיל_שלנו_2023-'תכנון פרישה (מקסימום תשואה)'!שנות_עבודה_שנותרו,D22)/12</f>
        <v>8325.426752</v>
      </c>
      <c r="E24" s="52">
        <f>-PMT(E$21,'תכנון פרישה (מקסימום תשואה)'!גיל_הפנסיה-'תכנון פרישה (מקסימום תשואה)'!הגיל_שלנו_2023-'תכנון פרישה (מקסימום תשואה)'!שנות_עבודה_שנותרו,E22)/12</f>
        <v>9542.348345</v>
      </c>
      <c r="F24" s="52">
        <f>-PMT(F$21,'תכנון פרישה (מקסימום תשואה)'!גיל_הפנסיה-'תכנון פרישה (מקסימום תשואה)'!הגיל_שלנו_2023-'תכנון פרישה (מקסימום תשואה)'!שנות_עבודה_שנותרו,F22)/12</f>
        <v>10883.67718</v>
      </c>
      <c r="G24" s="52">
        <f>-PMT(G$21,'תכנון פרישה (מקסימום תשואה)'!גיל_הפנסיה-'תכנון פרישה (מקסימום תשואה)'!הגיל_שלנו_2023-'תכנון פרישה (מקסימום תשואה)'!שנות_עבודה_שנותרו,G22)/12</f>
        <v>12356.08571</v>
      </c>
      <c r="H24" s="2"/>
      <c r="I24" s="6"/>
      <c r="J24" s="6"/>
      <c r="L24" s="6"/>
      <c r="M24" s="6"/>
      <c r="N24" s="2"/>
      <c r="O24" s="6"/>
      <c r="P24" s="6"/>
      <c r="Q24" s="6"/>
      <c r="R24" s="6"/>
      <c r="S24" s="6"/>
    </row>
    <row r="25" hidden="1">
      <c r="A25" s="47">
        <v>0.15</v>
      </c>
      <c r="B25" s="48">
        <f>-FV(B$21,'תכנון פרישה (מקסימום תשואה)'!שנות_עבודה_שנותרו,$D$15*12*$A25)+('תכנון פרישה (מקסימום תשואה)'!חסכון_נוכחי_2023*(1+B$21)^'תכנון פרישה (מקסימום תשואה)'!שנות_עבודה_שנותרו)</f>
        <v>1911030.76</v>
      </c>
      <c r="C25" s="48">
        <f>-FV(C$21,'תכנון פרישה (מקסימום תשואה)'!שנות_עבודה_שנותרו,$D$15*12*$A25)+('תכנון פרישה (מקסימום תשואה)'!חסכון_נוכחי_2023*(1+C$21)^'תכנון פרישה (מקסימום תשואה)'!שנות_עבודה_שנותרו)</f>
        <v>1984123.475</v>
      </c>
      <c r="D25" s="48">
        <f>-FV(D$21,'תכנון פרישה (מקסימום תשואה)'!שנות_עבודה_שנותרו,$D$15*12*$A25)+('תכנון פרישה (מקסימום תשואה)'!חסכון_נוכחי_2023*(1+D$21)^'תכנון פרישה (מקסימום תשואה)'!שנות_עבודה_שנותרו)</f>
        <v>2060374.916</v>
      </c>
      <c r="E25" s="48">
        <f>-FV(E$21,'תכנון פרישה (מקסימום תשואה)'!שנות_עבודה_שנותרו,$D$15*12*$A25)+('תכנון פרישה (מקסימום תשואה)'!חסכון_נוכחי_2023*(1+E$21)^'תכנון פרישה (מקסימום תשואה)'!שנות_עבודה_שנותרו)</f>
        <v>2139913.592</v>
      </c>
      <c r="F25" s="48">
        <f>-FV(F$21,'תכנון פרישה (מקסימום תשואה)'!שנות_עבודה_שנותרו,$D$15*12*$A25)+('תכנון פרישה (מקסימום תשואה)'!חסכון_נוכחי_2023*(1+F$21)^'תכנון פרישה (מקסימום תשואה)'!שנות_עבודה_שנותרו)</f>
        <v>2222872.556</v>
      </c>
      <c r="G25" s="48">
        <f>-FV(G$21,'תכנון פרישה (מקסימום תשואה)'!שנות_עבודה_שנותרו,$D$15*12*$A25)+('תכנון פרישה (מקסימום תשואה)'!חסכון_נוכחי_2023*(1+G$21)^'תכנון פרישה (מקסימום תשואה)'!שנות_עבודה_שנותרו)</f>
        <v>2309389.535</v>
      </c>
      <c r="H25" s="2"/>
      <c r="I25" s="6"/>
      <c r="J25" s="6"/>
      <c r="L25" s="6"/>
      <c r="M25" s="6"/>
      <c r="N25" s="2"/>
      <c r="O25" s="6"/>
      <c r="P25" s="6"/>
      <c r="Q25" s="6"/>
      <c r="R25" s="6"/>
      <c r="S25" s="6"/>
    </row>
    <row r="26" ht="15.0" hidden="1" customHeight="1">
      <c r="A26" s="49" t="s">
        <v>40</v>
      </c>
      <c r="B26" s="50">
        <f t="shared" ref="B26:G26" si="4">B25*B$21/12</f>
        <v>4777.5769</v>
      </c>
      <c r="C26" s="50">
        <f t="shared" si="4"/>
        <v>6613.744916</v>
      </c>
      <c r="D26" s="50">
        <f t="shared" si="4"/>
        <v>8584.895482</v>
      </c>
      <c r="E26" s="50">
        <f t="shared" si="4"/>
        <v>10699.56796</v>
      </c>
      <c r="F26" s="50">
        <f t="shared" si="4"/>
        <v>12966.75658</v>
      </c>
      <c r="G26" s="50">
        <f t="shared" si="4"/>
        <v>15395.93023</v>
      </c>
      <c r="H26" s="2"/>
      <c r="I26" s="6"/>
      <c r="J26" s="6"/>
      <c r="K26" s="6"/>
      <c r="L26" s="6"/>
      <c r="M26" s="6"/>
      <c r="N26" s="2"/>
      <c r="O26" s="6"/>
      <c r="P26" s="6"/>
      <c r="Q26" s="6"/>
      <c r="R26" s="6"/>
      <c r="S26" s="6"/>
    </row>
    <row r="27" ht="15.0" hidden="1" customHeight="1">
      <c r="A27" s="51" t="str">
        <f>"כמה נמשוך כולל הקרן , מהפרישה ועד גיל "&amp;$E$4&amp;""</f>
        <v>כמה נמשוך כולל הקרן , מהפרישה ועד גיל 60</v>
      </c>
      <c r="B27" s="52">
        <f>-PMT(B$21,'תכנון פרישה (מקסימום תשואה)'!גיל_הפנסיה-'תכנון פרישה (מקסימום תשואה)'!הגיל_שלנו_2023-'תכנון פרישה (מקסימום תשואה)'!שנות_עבודה_שנותרו,B25)/12</f>
        <v>9145.535669</v>
      </c>
      <c r="C27" s="52">
        <f>-PMT(C$21,'תכנון פרישה (מקסימום תשואה)'!גיל_הפנסיה-'תכנון פרישה (מקסימום תשואה)'!הגיל_שלנו_2023-'תכנון פרישה (מקסימום תשואה)'!שנות_עבודה_שנותרו,C25)/12</f>
        <v>10583.96984</v>
      </c>
      <c r="D27" s="52">
        <f>-PMT(D$21,'תכנון פרישה (מקסימום תשואה)'!גיל_הפנסיה-'תכנון פרישה (מקסימום תשואה)'!הגיל_שלנו_2023-'תכנון פרישה (מקסימום תשואה)'!שנות_עבודה_שנותרו,D25)/12</f>
        <v>12182.3886</v>
      </c>
      <c r="E27" s="52">
        <f>-PMT(E$21,'תכנון פרישה (מקסימום תשואה)'!גיל_הפנסיה-'תכנון פרישה (מקסימום תשואה)'!הגיל_שלנו_2023-'תכנון פרישה (מקסימום תשואה)'!שנות_עבודה_שנותרו,E25)/12</f>
        <v>13949.86813</v>
      </c>
      <c r="F27" s="52">
        <f>-PMT(F$21,'תכנון פרישה (מקסימום תשואה)'!גיל_הפנסיה-'תכנון פרישה (מקסימום תשואה)'!הגיל_שלנו_2023-'תכנון פרישה (מקסימום תשואה)'!שנות_עבודה_שנותרו,F25)/12</f>
        <v>15895.48698</v>
      </c>
      <c r="G27" s="52">
        <f>-PMT(G$21,'תכנון פרישה (מקסימום תשואה)'!גיל_הפנסיה-'תכנון פרישה (מקסימום תשואה)'!הגיל_שלנו_2023-'תכנון פרישה (מקסימום תשואה)'!שנות_עבודה_שנותרו,G25)/12</f>
        <v>18028.39933</v>
      </c>
      <c r="H27" s="2"/>
      <c r="I27" s="6"/>
      <c r="J27" s="6"/>
      <c r="K27" s="6"/>
      <c r="L27" s="6"/>
      <c r="M27" s="6"/>
      <c r="N27" s="2"/>
      <c r="O27" s="6"/>
      <c r="P27" s="6"/>
      <c r="Q27" s="6"/>
      <c r="R27" s="6"/>
      <c r="S27" s="6"/>
    </row>
    <row r="28" hidden="1">
      <c r="A28" s="47">
        <v>0.2</v>
      </c>
      <c r="B28" s="48">
        <f>-FV(B$21,'תכנון פרישה (מקסימום תשואה)'!שנות_עבודה_שנותרו,$D$15*12*$A28)+('תכנון פרישה (מקסימום תשואה)'!חסכון_נוכחי_2023*(1+B$21)^'תכנון פרישה (מקסימום תשואה)'!שנות_עבודה_שנותרו)</f>
        <v>2518483.045</v>
      </c>
      <c r="C28" s="48">
        <f>-FV(C$21,'תכנון פרישה (מקסימום תשואה)'!שנות_עבודה_שנותרו,$D$15*12*$A28)+('תכנון פרישה (מקסימום תשואה)'!חסכון_נוכחי_2023*(1+C$21)^'תכנון פרישה (מקסימום תשואה)'!שנות_עבודה_שנותרו)</f>
        <v>2613564.688</v>
      </c>
      <c r="D28" s="48">
        <f>-FV(D$21,'תכנון פרישה (מקסימום תשואה)'!שנות_עבודה_שנותרו,$D$15*12*$A28)+('תכנון פרישה (מקסימום תשואה)'!חסכון_נוכחי_2023*(1+D$21)^'תכנון פרישה (מקסימום תשואה)'!שנות_עבודה_שנותרו)</f>
        <v>2712692.594</v>
      </c>
      <c r="E28" s="48">
        <f>-FV(E$21,'תכנון פרישה (מקסימום תשואה)'!שנות_עבודה_שנותרו,$D$15*12*$A28)+('תכנון פרישה (מקסימום תשואה)'!חסכון_נוכחי_2023*(1+E$21)^'תכנון פרישה (מקסימום תשואה)'!שנות_עבודה_שנותרו)</f>
        <v>2816028.334</v>
      </c>
      <c r="F28" s="48">
        <f>-FV(F$21,'תכנון פרישה (מקסימום תשואה)'!שנות_עבודה_שנותרו,$D$15*12*$A28)+('תכנון פרישה (מקסימום תשואה)'!חסכון_נוכחי_2023*(1+F$21)^'תכנון פרישה (מקסימום תשואה)'!שנות_עבודה_שנותרו)</f>
        <v>2923739.064</v>
      </c>
      <c r="G28" s="48">
        <f>-FV(G$21,'תכנון פרישה (מקסימום תשואה)'!שנות_עבודה_שנותרו,$D$15*12*$A28)+('תכנון פרישה (מקסימום תשואה)'!חסכון_נוכחי_2023*(1+G$21)^'תכנון פרישה (מקסימום תשואה)'!שנות_עבודה_שנותרו)</f>
        <v>3035997.675</v>
      </c>
      <c r="H28" s="2"/>
      <c r="I28" s="6"/>
      <c r="J28" s="6"/>
      <c r="K28" s="6"/>
      <c r="L28" s="6"/>
      <c r="M28" s="6"/>
      <c r="N28" s="2"/>
      <c r="O28" s="6"/>
      <c r="P28" s="6"/>
      <c r="Q28" s="6"/>
      <c r="R28" s="6"/>
      <c r="S28" s="6"/>
    </row>
    <row r="29" ht="15.0" hidden="1" customHeight="1">
      <c r="A29" s="49" t="s">
        <v>40</v>
      </c>
      <c r="B29" s="50">
        <f t="shared" ref="B29:G29" si="5">B28*B$21/12</f>
        <v>6296.207612</v>
      </c>
      <c r="C29" s="50">
        <f t="shared" si="5"/>
        <v>8711.882295</v>
      </c>
      <c r="D29" s="50">
        <f t="shared" si="5"/>
        <v>11302.88581</v>
      </c>
      <c r="E29" s="50">
        <f t="shared" si="5"/>
        <v>14080.14167</v>
      </c>
      <c r="F29" s="50">
        <f t="shared" si="5"/>
        <v>17055.14454</v>
      </c>
      <c r="G29" s="50">
        <f t="shared" si="5"/>
        <v>20239.9845</v>
      </c>
      <c r="H29" s="2"/>
      <c r="I29" s="6"/>
      <c r="J29" s="6"/>
      <c r="K29" s="6"/>
      <c r="L29" s="6"/>
      <c r="M29" s="6"/>
      <c r="N29" s="2"/>
      <c r="O29" s="6"/>
      <c r="P29" s="6"/>
      <c r="Q29" s="6"/>
      <c r="R29" s="6"/>
      <c r="S29" s="6"/>
    </row>
    <row r="30" ht="15.0" hidden="1" customHeight="1">
      <c r="A30" s="51" t="str">
        <f>"כמה נמשוך כולל הקרן , מהפרישה ועד גיל "&amp;$E$4&amp;""</f>
        <v>כמה נמשוך כולל הקרן , מהפרישה ועד גיל 60</v>
      </c>
      <c r="B30" s="52">
        <f>-PMT(B$21,'תכנון פרישה (מקסימום תשואה)'!גיל_הפנסיה-'תכנון פרישה (מקסימום תשואה)'!הגיל_שלנו_2023-'תכנון פרישה (מקסימום תשואה)'!שנות_עבודה_שנותרו,B28)/12</f>
        <v>12052.59329</v>
      </c>
      <c r="C30" s="52">
        <f>-PMT(C$21,'תכנון פרישה (מקסימום תשואה)'!גיל_הפנסיה-'תכנון פרישה (מקסימום תשואה)'!הגיל_שלנו_2023-'תכנון פרישה (מקסימום תשואה)'!שנות_עבודה_שנותרו,C28)/12</f>
        <v>13941.61713</v>
      </c>
      <c r="D30" s="52">
        <f>-PMT(D$21,'תכנון פרישה (מקסימום תשואה)'!גיל_הפנסיה-'תכנון פרישה (מקסימום תשואה)'!הגיל_שלנו_2023-'תכנון פרישה (מקסימום תשואה)'!שנות_עבודה_שנותרו,D28)/12</f>
        <v>16039.35045</v>
      </c>
      <c r="E30" s="52">
        <f>-PMT(E$21,'תכנון פרישה (מקסימום תשואה)'!גיל_הפנסיה-'תכנון פרישה (מקסימום תשואה)'!הגיל_שלנו_2023-'תכנון פרישה (מקסימום תשואה)'!שנות_עבודה_שנותרו,E28)/12</f>
        <v>18357.38792</v>
      </c>
      <c r="F30" s="52">
        <f>-PMT(F$21,'תכנון פרישה (מקסימום תשואה)'!גיל_הפנסיה-'תכנון פרישה (מקסימום תשואה)'!הגיל_שלנו_2023-'תכנון פרישה (מקסימום תשואה)'!שנות_עבודה_שנותרו,F28)/12</f>
        <v>20907.29678</v>
      </c>
      <c r="G30" s="52">
        <f>-PMT(G$21,'תכנון פרישה (מקסימום תשואה)'!גיל_הפנסיה-'תכנון פרישה (מקסימום תשואה)'!הגיל_שלנו_2023-'תכנון פרישה (מקסימום תשואה)'!שנות_עבודה_שנותרו,G28)/12</f>
        <v>23700.71295</v>
      </c>
      <c r="H30" s="2"/>
      <c r="I30" s="6"/>
      <c r="J30" s="6"/>
      <c r="K30" s="6"/>
      <c r="L30" s="6"/>
      <c r="M30" s="6"/>
      <c r="N30" s="2"/>
      <c r="O30" s="6"/>
      <c r="P30" s="6"/>
      <c r="Q30" s="6"/>
      <c r="R30" s="6"/>
      <c r="S30" s="6"/>
    </row>
    <row r="31" hidden="1">
      <c r="A31" s="47">
        <v>0.25</v>
      </c>
      <c r="B31" s="48">
        <f>-FV(B$21,'תכנון פרישה (מקסימום תשואה)'!שנות_עבודה_שנותרו,$D$15*12*$A31)+('תכנון פרישה (מקסימום תשואה)'!חסכון_נוכחי_2023*(1+B$21)^'תכנון פרישה (מקסימום תשואה)'!שנות_עבודה_שנותרו)</f>
        <v>3125935.329</v>
      </c>
      <c r="C31" s="48">
        <f>-FV(C$21,'תכנון פרישה (מקסימום תשואה)'!שנות_עבודה_שנותרו,$D$15*12*$A31)+('תכנון פרישה (מקסימום תשואה)'!חסכון_נוכחי_2023*(1+C$21)^'תכנון פרישה (מקסימום תשואה)'!שנות_עבודה_שנותרו)</f>
        <v>3243005.902</v>
      </c>
      <c r="D31" s="48">
        <f>-FV(D$21,'תכנון פרישה (מקסימום תשואה)'!שנות_עבודה_שנותרו,$D$15*12*$A31)+('תכנון פרישה (מקסימום תשואה)'!חסכון_נוכחי_2023*(1+D$21)^'תכנון פרישה (מקסימום תשואה)'!שנות_עבודה_שנותרו)</f>
        <v>3365010.272</v>
      </c>
      <c r="E31" s="48">
        <f>-FV(E$21,'תכנון פרישה (מקסימום תשואה)'!שנות_עבודה_שנותרו,$D$15*12*$A31)+('תכנון פרישה (מקסימום תשואה)'!חסכון_נוכחי_2023*(1+E$21)^'תכנון פרישה (מקסימום תשואה)'!שנות_עבודה_שנותרו)</f>
        <v>3492143.077</v>
      </c>
      <c r="F31" s="48">
        <f>-FV(F$21,'תכנון פרישה (מקסימום תשואה)'!שנות_עבודה_שנותרו,$D$15*12*$A31)+('תכנון פרישה (מקסימום תשואה)'!חסכון_נוכחי_2023*(1+F$21)^'תכנון פרישה (מקסימום תשואה)'!שנות_עבודה_שנותרו)</f>
        <v>3624605.572</v>
      </c>
      <c r="G31" s="48">
        <f>-FV(G$21,'תכנון פרישה (מקסימום תשואה)'!שנות_עבודה_שנותרו,$D$15*12*$A31)+('תכנון פרישה (מקסימום תשואה)'!חסכון_נוכחי_2023*(1+G$21)^'תכנון פרישה (מקסימום תשואה)'!שנות_עבודה_שנותרו)</f>
        <v>3762605.815</v>
      </c>
      <c r="H31" s="2"/>
      <c r="I31" s="6"/>
      <c r="J31" s="6"/>
      <c r="K31" s="6"/>
      <c r="L31" s="6"/>
      <c r="M31" s="6"/>
      <c r="N31" s="2"/>
      <c r="O31" s="6"/>
      <c r="P31" s="6"/>
      <c r="Q31" s="6"/>
      <c r="R31" s="6"/>
      <c r="S31" s="6"/>
    </row>
    <row r="32" ht="15.0" hidden="1" customHeight="1">
      <c r="A32" s="49" t="s">
        <v>40</v>
      </c>
      <c r="B32" s="50">
        <f t="shared" ref="B32:G32" si="6">B31*B$21/12</f>
        <v>7814.838323</v>
      </c>
      <c r="C32" s="50">
        <f t="shared" si="6"/>
        <v>10810.01967</v>
      </c>
      <c r="D32" s="50">
        <f t="shared" si="6"/>
        <v>14020.87613</v>
      </c>
      <c r="E32" s="50">
        <f t="shared" si="6"/>
        <v>17460.71538</v>
      </c>
      <c r="F32" s="50">
        <f t="shared" si="6"/>
        <v>21143.5325</v>
      </c>
      <c r="G32" s="50">
        <f t="shared" si="6"/>
        <v>25084.03876</v>
      </c>
      <c r="H32" s="2"/>
      <c r="I32" s="6"/>
      <c r="J32" s="6"/>
      <c r="K32" s="6"/>
      <c r="L32" s="6"/>
      <c r="M32" s="6"/>
      <c r="N32" s="2"/>
      <c r="O32" s="6"/>
      <c r="P32" s="6"/>
      <c r="Q32" s="6"/>
      <c r="R32" s="6"/>
      <c r="S32" s="6"/>
    </row>
    <row r="33" ht="15.0" hidden="1" customHeight="1">
      <c r="A33" s="51" t="str">
        <f>"כמה נמשוך כולל הקרן , מהפרישה ועד גיל "&amp;$E$4&amp;""</f>
        <v>כמה נמשוך כולל הקרן , מהפרישה ועד גיל 60</v>
      </c>
      <c r="B33" s="52">
        <f>-PMT(B$21,'תכנון פרישה (מקסימום תשואה)'!גיל_הפנסיה-'תכנון פרישה (מקסימום תשואה)'!הגיל_שלנו_2023-'תכנון פרישה (מקסימום תשואה)'!שנות_עבודה_שנותרו,B31)/12</f>
        <v>14959.65091</v>
      </c>
      <c r="C33" s="52">
        <f>-PMT(C$21,'תכנון פרישה (מקסימום תשואה)'!גיל_הפנסיה-'תכנון פרישה (מקסימום תשואה)'!הגיל_שלנו_2023-'תכנון פרישה (מקסימום תשואה)'!שנות_עבודה_שנותרו,C31)/12</f>
        <v>17299.26443</v>
      </c>
      <c r="D33" s="52">
        <f>-PMT(D$21,'תכנון פרישה (מקסימום תשואה)'!גיל_הפנסיה-'תכנון פרישה (מקסימום תשואה)'!הגיל_שלנו_2023-'תכנון פרישה (מקסימום תשואה)'!שנות_עבודה_שנותרו,D31)/12</f>
        <v>19896.3123</v>
      </c>
      <c r="E33" s="52">
        <f>-PMT(E$21,'תכנון פרישה (מקסימום תשואה)'!גיל_הפנסיה-'תכנון פרישה (מקסימום תשואה)'!הגיל_שלנו_2023-'תכנון פרישה (מקסימום תשואה)'!שנות_עבודה_שנותרו,E31)/12</f>
        <v>22764.9077</v>
      </c>
      <c r="F33" s="52">
        <f>-PMT(F$21,'תכנון פרישה (מקסימום תשואה)'!גיל_הפנסיה-'תכנון פרישה (מקסימום תשואה)'!הגיל_שלנו_2023-'תכנון פרישה (מקסימום תשואה)'!שנות_עבודה_שנותרו,F31)/12</f>
        <v>25919.10657</v>
      </c>
      <c r="G33" s="52">
        <f>-PMT(G$21,'תכנון פרישה (מקסימום תשואה)'!גיל_הפנסיה-'תכנון פרישה (מקסימום תשואה)'!הגיל_שלנו_2023-'תכנון פרישה (מקסימום תשואה)'!שנות_עבודה_שנותרו,G31)/12</f>
        <v>29373.02656</v>
      </c>
      <c r="H33" s="2"/>
      <c r="I33" s="6"/>
      <c r="J33" s="6"/>
      <c r="K33" s="6"/>
      <c r="L33" s="6"/>
      <c r="M33" s="6"/>
      <c r="N33" s="2"/>
      <c r="O33" s="6"/>
      <c r="P33" s="6"/>
      <c r="Q33" s="6"/>
      <c r="R33" s="6"/>
      <c r="S33" s="6"/>
    </row>
    <row r="34" hidden="1">
      <c r="A34" s="47">
        <v>0.3</v>
      </c>
      <c r="B34" s="48">
        <f>-FV(B$21,'תכנון פרישה (מקסימום תשואה)'!שנות_עבודה_שנותרו,$D$15*12*$A34)+('תכנון פרישה (מקסימום תשואה)'!חסכון_נוכחי_2023*(1+B$21)^'תכנון פרישה (מקסימום תשואה)'!שנות_עבודה_שנותרו)</f>
        <v>3733387.614</v>
      </c>
      <c r="C34" s="48">
        <f>-FV(C$21,'תכנון פרישה (מקסימום תשואה)'!שנות_עבודה_שנותרו,$D$15*12*$A34)+('תכנון פרישה (מקסימום תשואה)'!חסכון_נוכחי_2023*(1+C$21)^'תכנון פרישה (מקסימום תשואה)'!שנות_עבודה_שנותרו)</f>
        <v>3872447.116</v>
      </c>
      <c r="D34" s="48">
        <f>-FV(D$21,'תכנון פרישה (מקסימום תשואה)'!שנות_עבודה_שנותרו,$D$15*12*$A34)+('תכנון פרישה (מקסימום תשואה)'!חסכון_נוכחי_2023*(1+D$21)^'תכנון פרישה (מקסימום תשואה)'!שנות_עבודה_שנותרו)</f>
        <v>4017327.951</v>
      </c>
      <c r="E34" s="48">
        <f>-FV(E$21,'תכנון פרישה (מקסימום תשואה)'!שנות_עבודה_שנותרו,$D$15*12*$A34)+('תכנון פרישה (מקסימום תשואה)'!חסכון_נוכחי_2023*(1+E$21)^'תכנון פרישה (מקסימום תשואה)'!שנות_עבודה_שנותרו)</f>
        <v>4168257.819</v>
      </c>
      <c r="F34" s="48">
        <f>-FV(F$21,'תכנון פרישה (מקסימום תשואה)'!שנות_עבודה_שנותרו,$D$15*12*$A34)+('תכנון פרישה (מקסימום תשואה)'!חסכון_נוכחי_2023*(1+F$21)^'תכנון פרישה (מקסימום תשואה)'!שנות_עבודה_שנותרו)</f>
        <v>4325472.08</v>
      </c>
      <c r="G34" s="48">
        <f>-FV(G$21,'תכנון פרישה (מקסימום תשואה)'!שנות_עבודה_שנותרו,$D$15*12*$A34)+('תכנון פרישה (מקסימום תשואה)'!חסכון_נוכחי_2023*(1+G$21)^'תכנון פרישה (מקסימום תשואה)'!שנות_עבודה_שנותרו)</f>
        <v>4489213.955</v>
      </c>
      <c r="H34" s="2"/>
      <c r="I34" s="6"/>
      <c r="J34" s="6"/>
      <c r="K34" s="6"/>
      <c r="L34" s="6"/>
      <c r="M34" s="6"/>
      <c r="N34" s="2"/>
      <c r="O34" s="6"/>
      <c r="P34" s="6"/>
      <c r="Q34" s="6"/>
      <c r="R34" s="6"/>
      <c r="S34" s="6"/>
    </row>
    <row r="35" ht="15.0" hidden="1" customHeight="1">
      <c r="A35" s="49" t="s">
        <v>40</v>
      </c>
      <c r="B35" s="50">
        <f t="shared" ref="B35:G35" si="7">B34*B$21/12</f>
        <v>9333.469035</v>
      </c>
      <c r="C35" s="50">
        <f t="shared" si="7"/>
        <v>12908.15705</v>
      </c>
      <c r="D35" s="50">
        <f t="shared" si="7"/>
        <v>16738.86646</v>
      </c>
      <c r="E35" s="50">
        <f t="shared" si="7"/>
        <v>20841.2891</v>
      </c>
      <c r="F35" s="50">
        <f t="shared" si="7"/>
        <v>25231.92047</v>
      </c>
      <c r="G35" s="50">
        <f t="shared" si="7"/>
        <v>29928.09303</v>
      </c>
      <c r="H35" s="2"/>
      <c r="I35" s="6"/>
      <c r="J35" s="6"/>
      <c r="K35" s="6"/>
      <c r="L35" s="6"/>
      <c r="M35" s="6"/>
      <c r="N35" s="2"/>
      <c r="O35" s="6"/>
      <c r="P35" s="6"/>
      <c r="Q35" s="6"/>
      <c r="R35" s="6"/>
      <c r="S35" s="6"/>
    </row>
    <row r="36" ht="15.0" hidden="1" customHeight="1">
      <c r="A36" s="51" t="str">
        <f>"כמה נמשוך כולל הקרן , מהפרישה ועד גיל "&amp;$E$4&amp;""</f>
        <v>כמה נמשוך כולל הקרן , מהפרישה ועד גיל 60</v>
      </c>
      <c r="B36" s="52">
        <f>-PMT(B$21,'תכנון פרישה (מקסימום תשואה)'!גיל_הפנסיה-'תכנון פרישה (מקסימום תשואה)'!הגיל_שלנו_2023-'תכנון פרישה (מקסימום תשואה)'!שנות_עבודה_שנותרו,B34)/12</f>
        <v>17866.70854</v>
      </c>
      <c r="C36" s="52">
        <f>-PMT(C$21,'תכנון פרישה (מקסימום תשואה)'!גיל_הפנסיה-'תכנון פרישה (מקסימום תשואה)'!הגיל_שלנו_2023-'תכנון פרישה (מקסימום תשואה)'!שנות_עבודה_שנותרו,C34)/12</f>
        <v>20656.91172</v>
      </c>
      <c r="D36" s="52">
        <f>-PMT(D$21,'תכנון פרישה (מקסימום תשואה)'!גיל_הפנסיה-'תכנון פרישה (מקסימום תשואה)'!הגיל_שלנו_2023-'תכנון פרישה (מקסימום תשואה)'!שנות_עבודה_שנותרו,D34)/12</f>
        <v>23753.27416</v>
      </c>
      <c r="E36" s="52">
        <f>-PMT(E$21,'תכנון פרישה (מקסימום תשואה)'!גיל_הפנסיה-'תכנון פרישה (מקסימום תשואה)'!הגיל_שלנו_2023-'תכנון פרישה (מקסימום תשואה)'!שנות_עבודה_שנותרו,E34)/12</f>
        <v>27172.42749</v>
      </c>
      <c r="F36" s="52">
        <f>-PMT(F$21,'תכנון פרישה (מקסימום תשואה)'!גיל_הפנסיה-'תכנון פרישה (מקסימום תשואה)'!הגיל_שלנו_2023-'תכנון פרישה (מקסימום תשואה)'!שנות_עבודה_שנותרו,F34)/12</f>
        <v>30930.91637</v>
      </c>
      <c r="G36" s="52">
        <f>-PMT(G$21,'תכנון פרישה (מקסימום תשואה)'!גיל_הפנסיה-'תכנון פרישה (מקסימום תשואה)'!הגיל_שלנו_2023-'תכנון פרישה (מקסימום תשואה)'!שנות_עבודה_שנותרו,G34)/12</f>
        <v>35045.34018</v>
      </c>
      <c r="H36" s="2"/>
      <c r="I36" s="6"/>
      <c r="J36" s="6"/>
      <c r="K36" s="6"/>
      <c r="L36" s="6"/>
      <c r="M36" s="6"/>
      <c r="N36" s="2"/>
      <c r="O36" s="6"/>
      <c r="P36" s="6"/>
      <c r="Q36" s="6"/>
      <c r="R36" s="6"/>
      <c r="S36" s="6"/>
    </row>
    <row r="37" hidden="1">
      <c r="A37" s="47">
        <v>0.35</v>
      </c>
      <c r="B37" s="48">
        <f>-FV(B$21,'תכנון פרישה (מקסימום תשואה)'!שנות_עבודה_שנותרו,$D$15*12*$A37)+('תכנון פרישה (מקסימום תשואה)'!חסכון_נוכחי_2023*(1+B$21)^'תכנון פרישה (מקסימום תשואה)'!שנות_עבודה_שנותרו)</f>
        <v>4340839.899</v>
      </c>
      <c r="C37" s="48">
        <f>-FV(C$21,'תכנון פרישה (מקסימום תשואה)'!שנות_עבודה_שנותרו,$D$15*12*$A37)+('תכנון פרישה (מקסימום תשואה)'!חסכון_נוכחי_2023*(1+C$21)^'תכנון פרישה (מקסימום תשואה)'!שנות_עבודה_שנותרו)</f>
        <v>4501888.33</v>
      </c>
      <c r="D37" s="48">
        <f>-FV(D$21,'תכנון פרישה (מקסימום תשואה)'!שנות_עבודה_שנותרו,$D$15*12*$A37)+('תכנון פרישה (מקסימום תשואה)'!חסכון_נוכחי_2023*(1+D$21)^'תכנון פרישה (מקסימום תשואה)'!שנות_עבודה_שנותרו)</f>
        <v>4669645.629</v>
      </c>
      <c r="E37" s="48">
        <f>-FV(E$21,'תכנון פרישה (מקסימום תשואה)'!שנות_עבודה_שנותרו,$D$15*12*$A37)+('תכנון פרישה (מקסימום תשואה)'!חסכון_נוכחי_2023*(1+E$21)^'תכנון פרישה (מקסימום תשואה)'!שנות_עבודה_שנותרו)</f>
        <v>4844372.561</v>
      </c>
      <c r="F37" s="48">
        <f>-FV(F$21,'תכנון פרישה (מקסימום תשואה)'!שנות_עבודה_שנותרו,$D$15*12*$A37)+('תכנון פרישה (מקסימום תשואה)'!חסכון_נוכחי_2023*(1+F$21)^'תכנון פרישה (מקסימום תשואה)'!שנות_עבודה_שנותרו)</f>
        <v>5026338.588</v>
      </c>
      <c r="G37" s="48">
        <f>-FV(G$21,'תכנון פרישה (מקסימום תשואה)'!שנות_עבודה_שנותרו,$D$15*12*$A37)+('תכנון פרישה (מקסימום תשואה)'!חסכון_נוכחי_2023*(1+G$21)^'תכנון פרישה (מקסימום תשואה)'!שנות_עבודה_שנותרו)</f>
        <v>5215822.095</v>
      </c>
      <c r="H37" s="2"/>
      <c r="I37" s="6"/>
      <c r="J37" s="6"/>
      <c r="K37" s="6"/>
      <c r="L37" s="6"/>
      <c r="M37" s="6"/>
      <c r="N37" s="2"/>
      <c r="O37" s="6"/>
      <c r="P37" s="6"/>
      <c r="Q37" s="6"/>
      <c r="R37" s="6"/>
      <c r="S37" s="6"/>
    </row>
    <row r="38" ht="15.0" hidden="1" customHeight="1">
      <c r="A38" s="49" t="s">
        <v>40</v>
      </c>
      <c r="B38" s="50">
        <f t="shared" ref="B38:G38" si="8">B37*B$21/12</f>
        <v>10852.09975</v>
      </c>
      <c r="C38" s="50">
        <f t="shared" si="8"/>
        <v>15006.29443</v>
      </c>
      <c r="D38" s="50">
        <f t="shared" si="8"/>
        <v>19456.85679</v>
      </c>
      <c r="E38" s="50">
        <f t="shared" si="8"/>
        <v>24221.86281</v>
      </c>
      <c r="F38" s="50">
        <f t="shared" si="8"/>
        <v>29320.30843</v>
      </c>
      <c r="G38" s="50">
        <f t="shared" si="8"/>
        <v>34772.1473</v>
      </c>
      <c r="H38" s="2"/>
      <c r="I38" s="6"/>
      <c r="J38" s="6"/>
      <c r="K38" s="6"/>
      <c r="L38" s="6"/>
      <c r="M38" s="6"/>
      <c r="N38" s="2"/>
      <c r="O38" s="6"/>
      <c r="P38" s="6"/>
      <c r="Q38" s="6"/>
      <c r="R38" s="6"/>
      <c r="S38" s="6"/>
    </row>
    <row r="39" ht="15.0" hidden="1" customHeight="1">
      <c r="A39" s="51" t="str">
        <f>"כמה נמשוך כולל הקרן , מהפרישה ועד גיל "&amp;$E$4&amp;""</f>
        <v>כמה נמשוך כולל הקרן , מהפרישה ועד גיל 60</v>
      </c>
      <c r="B39" s="52">
        <f>-PMT(B$21,'תכנון פרישה (מקסימום תשואה)'!גיל_הפנסיה-'תכנון פרישה (מקסימום תשואה)'!הגיל_שלנו_2023-'תכנון פרישה (מקסימום תשואה)'!שנות_עבודה_שנותרו,B37)/12</f>
        <v>20773.76616</v>
      </c>
      <c r="C39" s="52">
        <f>-PMT(C$21,'תכנון פרישה (מקסימום תשואה)'!גיל_הפנסיה-'תכנון פרישה (מקסימום תשואה)'!הגיל_שלנו_2023-'תכנון פרישה (מקסימום תשואה)'!שנות_עבודה_שנותרו,C37)/12</f>
        <v>24014.55902</v>
      </c>
      <c r="D39" s="52">
        <f>-PMT(D$21,'תכנון פרישה (מקסימום תשואה)'!גיל_הפנסיה-'תכנון פרישה (מקסימום תשואה)'!הגיל_שלנו_2023-'תכנון פרישה (מקסימום תשואה)'!שנות_עבודה_שנותרו,D37)/12</f>
        <v>27610.23601</v>
      </c>
      <c r="E39" s="52">
        <f>-PMT(E$21,'תכנון פרישה (מקסימום תשואה)'!גיל_הפנסיה-'תכנון פרישה (מקסימום תשואה)'!הגיל_שלנו_2023-'תכנון פרישה (מקסימום תשואה)'!שנות_עבודה_שנותרו,E37)/12</f>
        <v>31579.94727</v>
      </c>
      <c r="F39" s="52">
        <f>-PMT(F$21,'תכנון פרישה (מקסימום תשואה)'!גיל_הפנסיה-'תכנון פרישה (מקסימום תשואה)'!הגיל_שלנו_2023-'תכנון פרישה (מקסימום תשואה)'!שנות_עבודה_שנותרו,F37)/12</f>
        <v>35942.72616</v>
      </c>
      <c r="G39" s="52">
        <f>-PMT(G$21,'תכנון פרישה (מקסימום תשואה)'!גיל_הפנסיה-'תכנון פרישה (מקסימום תשואה)'!הגיל_שלנו_2023-'תכנון פרישה (מקסימום תשואה)'!שנות_עבודה_שנותרו,G37)/12</f>
        <v>40717.6538</v>
      </c>
      <c r="H39" s="2"/>
      <c r="I39" s="6"/>
      <c r="J39" s="6"/>
      <c r="K39" s="6"/>
      <c r="L39" s="6"/>
      <c r="M39" s="6"/>
      <c r="N39" s="2"/>
      <c r="O39" s="6"/>
      <c r="P39" s="6"/>
      <c r="Q39" s="6"/>
      <c r="R39" s="6"/>
      <c r="S39" s="6"/>
    </row>
    <row r="40" hidden="1">
      <c r="A40" s="47">
        <v>0.4</v>
      </c>
      <c r="B40" s="48">
        <f>-FV(B$21,'תכנון פרישה (מקסימום תשואה)'!שנות_עבודה_שנותרו,$D$15*12*$A40)+('תכנון פרישה (מקסימום תשואה)'!חסכון_נוכחי_2023*(1+B$21)^'תכנון פרישה (מקסימום תשואה)'!שנות_עבודה_שנותרו)</f>
        <v>4948292.184</v>
      </c>
      <c r="C40" s="48">
        <f>-FV(C$21,'תכנון פרישה (מקסימום תשואה)'!שנות_עבודה_שנותרו,$D$15*12*$A40)+('תכנון פרישה (מקסימום תשואה)'!חסכון_נוכחי_2023*(1+C$21)^'תכנון פרישה (מקסימום תשואה)'!שנות_עבודה_שנותרו)</f>
        <v>5131329.543</v>
      </c>
      <c r="D40" s="48">
        <f>-FV(D$21,'תכנון פרישה (מקסימום תשואה)'!שנות_עבודה_שנותרו,$D$15*12*$A40)+('תכנון פרישה (מקסימום תשואה)'!חסכון_נוכחי_2023*(1+D$21)^'תכנון פרישה (מקסימום תשואה)'!שנות_עבודה_שנותרו)</f>
        <v>5321963.307</v>
      </c>
      <c r="E40" s="48">
        <f>-FV(E$21,'תכנון פרישה (מקסימום תשואה)'!שנות_עבודה_שנותרו,$D$15*12*$A40)+('תכנון פרישה (מקסימום תשואה)'!חסכון_נוכחי_2023*(1+E$21)^'תכנון פרישה (מקסימום תשואה)'!שנות_עבודה_שנותרו)</f>
        <v>5520487.304</v>
      </c>
      <c r="F40" s="48">
        <f>-FV(F$21,'תכנון פרישה (מקסימום תשואה)'!שנות_עבודה_שנותרו,$D$15*12*$A40)+('תכנון פרישה (מקסימום תשואה)'!חסכון_נוכחי_2023*(1+F$21)^'תכנון פרישה (מקסימום תשואה)'!שנות_עבודה_שנותרו)</f>
        <v>5727205.096</v>
      </c>
      <c r="G40" s="48">
        <f>-FV(G$21,'תכנון פרישה (מקסימום תשואה)'!שנות_עבודה_שנותרו,$D$15*12*$A40)+('תכנון פרישה (מקסימום תשואה)'!חסכון_נוכחי_2023*(1+G$21)^'תכנון פרישה (מקסימום תשואה)'!שנות_עבודה_שנותרו)</f>
        <v>5942430.235</v>
      </c>
      <c r="H40" s="2"/>
      <c r="I40" s="6"/>
      <c r="J40" s="6"/>
      <c r="K40" s="6"/>
      <c r="L40" s="6"/>
      <c r="M40" s="6"/>
      <c r="N40" s="2"/>
      <c r="O40" s="6"/>
      <c r="P40" s="6"/>
      <c r="Q40" s="6"/>
      <c r="R40" s="6"/>
      <c r="S40" s="6"/>
    </row>
    <row r="41" ht="14.25" hidden="1" customHeight="1">
      <c r="A41" s="49" t="s">
        <v>40</v>
      </c>
      <c r="B41" s="50">
        <f t="shared" ref="B41:G41" si="9">B40*B$21/12</f>
        <v>12370.73046</v>
      </c>
      <c r="C41" s="50">
        <f t="shared" si="9"/>
        <v>17104.43181</v>
      </c>
      <c r="D41" s="50">
        <f t="shared" si="9"/>
        <v>22174.84711</v>
      </c>
      <c r="E41" s="50">
        <f t="shared" si="9"/>
        <v>27602.43652</v>
      </c>
      <c r="F41" s="50">
        <f t="shared" si="9"/>
        <v>33408.69639</v>
      </c>
      <c r="G41" s="50">
        <f t="shared" si="9"/>
        <v>39616.20157</v>
      </c>
      <c r="H41" s="2"/>
      <c r="I41" s="6"/>
      <c r="J41" s="6"/>
      <c r="K41" s="6"/>
      <c r="L41" s="6"/>
      <c r="M41" s="6"/>
      <c r="N41" s="2"/>
      <c r="O41" s="6"/>
      <c r="P41" s="6"/>
      <c r="Q41" s="6"/>
      <c r="R41" s="6"/>
      <c r="S41" s="6"/>
    </row>
    <row r="42" ht="15.0" hidden="1" customHeight="1">
      <c r="A42" s="51" t="str">
        <f>"כמה נמשוך כולל הקרן , מהפרישה ועד גיל "&amp;$E$4&amp;""</f>
        <v>כמה נמשוך כולל הקרן , מהפרישה ועד גיל 60</v>
      </c>
      <c r="B42" s="52">
        <f>-PMT(B$21,'תכנון פרישה (מקסימום תשואה)'!גיל_הפנסיה-'תכנון פרישה (מקסימום תשואה)'!הגיל_שלנו_2023-'תכנון פרישה (מקסימום תשואה)'!שנות_עבודה_שנותרו,B40)/12</f>
        <v>23680.82378</v>
      </c>
      <c r="C42" s="52">
        <f>-PMT(C$21,'תכנון פרישה (מקסימום תשואה)'!גיל_הפנסיה-'תכנון פרישה (מקסימום תשואה)'!הגיל_שלנו_2023-'תכנון פרישה (מקסימום תשואה)'!שנות_עבודה_שנותרו,C40)/12</f>
        <v>27372.20631</v>
      </c>
      <c r="D42" s="52">
        <f>-PMT(D$21,'תכנון פרישה (מקסימום תשואה)'!גיל_הפנסיה-'תכנון פרישה (מקסימום תשואה)'!הגיל_שלנו_2023-'תכנון פרישה (מקסימום תשואה)'!שנות_עבודה_שנותרו,D40)/12</f>
        <v>31467.19786</v>
      </c>
      <c r="E42" s="52">
        <f>-PMT(E$21,'תכנון פרישה (מקסימום תשואה)'!גיל_הפנסיה-'תכנון פרישה (מקסימום תשואה)'!הגיל_שלנו_2023-'תכנון פרישה (מקסימום תשואה)'!שנות_עבודה_שנותרו,E40)/12</f>
        <v>35987.46706</v>
      </c>
      <c r="F42" s="52">
        <f>-PMT(F$21,'תכנון פרישה (מקסימום תשואה)'!גיל_הפנסיה-'תכנון פרישה (מקסימום תשואה)'!הגיל_שלנו_2023-'תכנון פרישה (מקסימום תשואה)'!שנות_עבודה_שנותרו,F40)/12</f>
        <v>40954.53596</v>
      </c>
      <c r="G42" s="52">
        <f>-PMT(G$21,'תכנון פרישה (מקסימום תשואה)'!גיל_הפנסיה-'תכנון פרישה (מקסימום תשואה)'!הגיל_שלנו_2023-'תכנון פרישה (מקסימום תשואה)'!שנות_עבודה_שנותרו,G40)/12</f>
        <v>46389.96742</v>
      </c>
      <c r="H42" s="2"/>
      <c r="I42" s="6"/>
      <c r="J42" s="6"/>
      <c r="K42" s="6"/>
      <c r="L42" s="6"/>
      <c r="M42" s="6"/>
      <c r="N42" s="2"/>
      <c r="O42" s="6"/>
      <c r="P42" s="6"/>
      <c r="Q42" s="6"/>
      <c r="R42" s="6"/>
      <c r="S42" s="6"/>
    </row>
    <row r="43" hidden="1">
      <c r="A43" s="53">
        <v>0.45</v>
      </c>
      <c r="B43" s="48">
        <f>-FV(B$21,'תכנון פרישה (מקסימום תשואה)'!שנות_עבודה_שנותרו,$D$15*12*$A43)+('תכנון פרישה (מקסימום תשואה)'!חסכון_נוכחי_2023*(1+B$21)^'תכנון פרישה (מקסימום תשואה)'!שנות_עבודה_שנותרו)</f>
        <v>5555744.468</v>
      </c>
      <c r="C43" s="48">
        <f>-FV(C$21,'תכנון פרישה (מקסימום תשואה)'!שנות_עבודה_שנותרו,$D$15*12*$A43)+('תכנון פרישה (מקסימום תשואה)'!חסכון_נוכחי_2023*(1+C$21)^'תכנון פרישה (מקסימום תשואה)'!שנות_עבודה_שנותרו)</f>
        <v>5760770.757</v>
      </c>
      <c r="D43" s="48">
        <f>-FV(D$21,'תכנון פרישה (מקסימום תשואה)'!שנות_עבודה_שנותרו,$D$15*12*$A43)+('תכנון פרישה (מקסימום תשואה)'!חסכון_נוכחי_2023*(1+D$21)^'תכנון פרישה (מקסימום תשואה)'!שנות_עבודה_שנותרו)</f>
        <v>5974280.985</v>
      </c>
      <c r="E43" s="48">
        <f>-FV(E$21,'תכנון פרישה (מקסימום תשואה)'!שנות_עבודה_שנותרו,$D$15*12*$A43)+('תכנון פרישה (מקסימום תשואה)'!חסכון_נוכחי_2023*(1+E$21)^'תכנון פרישה (מקסימום תשואה)'!שנות_עבודה_שנותרו)</f>
        <v>6196602.046</v>
      </c>
      <c r="F43" s="48">
        <f>-FV(F$21,'תכנון פרישה (מקסימום תשואה)'!שנות_עבודה_שנותרו,$D$15*12*$A43)+('תכנון פרישה (מקסימום תשואה)'!חסכון_נוכחי_2023*(1+F$21)^'תכנון פרישה (מקסימום תשואה)'!שנות_עבודה_שנותרו)</f>
        <v>6428071.603</v>
      </c>
      <c r="G43" s="48">
        <f>-FV(G$21,'תכנון פרישה (מקסימום תשואה)'!שנות_עבודה_שנותרו,$D$15*12*$A43)+('תכנון פרישה (מקסימום תשואה)'!חסכון_נוכחי_2023*(1+G$21)^'תכנון פרישה (מקסימום תשואה)'!שנות_עבודה_שנותרו)</f>
        <v>6669038.375</v>
      </c>
      <c r="H43" s="2"/>
      <c r="I43" s="6"/>
      <c r="J43" s="6"/>
      <c r="K43" s="6"/>
      <c r="L43" s="6"/>
      <c r="M43" s="6"/>
      <c r="N43" s="2"/>
      <c r="O43" s="6"/>
      <c r="P43" s="6"/>
      <c r="Q43" s="6"/>
      <c r="R43" s="6"/>
      <c r="S43" s="6"/>
    </row>
    <row r="44" hidden="1">
      <c r="A44" s="49" t="s">
        <v>40</v>
      </c>
      <c r="B44" s="50">
        <f t="shared" ref="B44:G44" si="10">B43*B$21/12</f>
        <v>13889.36117</v>
      </c>
      <c r="C44" s="50">
        <f t="shared" si="10"/>
        <v>19202.56919</v>
      </c>
      <c r="D44" s="50">
        <f t="shared" si="10"/>
        <v>24892.83744</v>
      </c>
      <c r="E44" s="50">
        <f t="shared" si="10"/>
        <v>30983.01023</v>
      </c>
      <c r="F44" s="50">
        <f t="shared" si="10"/>
        <v>37497.08435</v>
      </c>
      <c r="G44" s="50">
        <f t="shared" si="10"/>
        <v>44460.25583</v>
      </c>
      <c r="H44" s="2"/>
      <c r="I44" s="6"/>
      <c r="J44" s="6"/>
      <c r="K44" s="6"/>
      <c r="L44" s="6"/>
      <c r="M44" s="6"/>
      <c r="N44" s="2"/>
      <c r="O44" s="6"/>
      <c r="P44" s="6"/>
      <c r="Q44" s="6"/>
      <c r="R44" s="6"/>
      <c r="S44" s="6"/>
    </row>
    <row r="45" hidden="1">
      <c r="A45" s="51" t="str">
        <f>"כמה נמשוך כולל הקרן , מהפרישה ועד גיל "&amp;$E$4&amp;""</f>
        <v>כמה נמשוך כולל הקרן , מהפרישה ועד גיל 60</v>
      </c>
      <c r="B45" s="52">
        <f>-PMT(B$21,'תכנון פרישה (מקסימום תשואה)'!גיל_הפנסיה-'תכנון פרישה (מקסימום תשואה)'!הגיל_שלנו_2023-'תכנון פרישה (מקסימום תשואה)'!שנות_עבודה_שנותרו,B43)/12</f>
        <v>26587.8814</v>
      </c>
      <c r="C45" s="52">
        <f>-PMT(C$21,'תכנון פרישה (מקסימום תשואה)'!גיל_הפנסיה-'תכנון פרישה (מקסימום תשואה)'!הגיל_שלנו_2023-'תכנון פרישה (מקסימום תשואה)'!שנות_עבודה_שנותרו,C43)/12</f>
        <v>30729.85361</v>
      </c>
      <c r="D45" s="52">
        <f>-PMT(D$21,'תכנון פרישה (מקסימום תשואה)'!גיל_הפנסיה-'תכנון פרישה (מקסימום תשואה)'!הגיל_שלנו_2023-'תכנון פרישה (מקסימום תשואה)'!שנות_עבודה_שנותרו,D43)/12</f>
        <v>35324.15971</v>
      </c>
      <c r="E45" s="52">
        <f>-PMT(E$21,'תכנון פרישה (מקסימום תשואה)'!גיל_הפנסיה-'תכנון פרישה (מקסימום תשואה)'!הגיל_שלנו_2023-'תכנון פרישה (מקסימום תשואה)'!שנות_עבודה_שנותרו,E43)/12</f>
        <v>40394.98684</v>
      </c>
      <c r="F45" s="52">
        <f>-PMT(F$21,'תכנון פרישה (מקסימום תשואה)'!גיל_הפנסיה-'תכנון פרישה (מקסימום תשואה)'!הגיל_שלנו_2023-'תכנון פרישה (מקסימום תשואה)'!שנות_עבודה_שנותרו,F43)/12</f>
        <v>45966.34575</v>
      </c>
      <c r="G45" s="52">
        <f>-PMT(G$21,'תכנון פרישה (מקסימום תשואה)'!גיל_הפנסיה-'תכנון פרישה (מקסימום תשואה)'!הגיל_שלנו_2023-'תכנון פרישה (מקסימום תשואה)'!שנות_עבודה_שנותרו,G43)/12</f>
        <v>52062.28103</v>
      </c>
      <c r="H45" s="2"/>
      <c r="I45" s="6"/>
      <c r="J45" s="6"/>
      <c r="K45" s="6"/>
      <c r="L45" s="6"/>
      <c r="M45" s="6"/>
      <c r="N45" s="2"/>
      <c r="O45" s="6"/>
      <c r="P45" s="6"/>
      <c r="Q45" s="6"/>
      <c r="R45" s="6"/>
      <c r="S45" s="6"/>
    </row>
    <row r="46" hidden="1">
      <c r="A46" s="53">
        <v>0.5</v>
      </c>
      <c r="B46" s="48">
        <f>-FV(B$21,'תכנון פרישה (מקסימום תשואה)'!שנות_עבודה_שנותרו,$D$15*12*$A46)+('תכנון פרישה (מקסימום תשואה)'!חסכון_נוכחי_2023*(1+B$21)^'תכנון פרישה (מקסימום תשואה)'!שנות_עבודה_שנותרו)</f>
        <v>6163196.753</v>
      </c>
      <c r="C46" s="48">
        <f>-FV(C$21,'תכנון פרישה (מקסימום תשואה)'!שנות_עבודה_שנותרו,$D$15*12*$A46)+('תכנון פרישה (מקסימום תשואה)'!חסכון_נוכחי_2023*(1+C$21)^'תכנון פרישה (מקסימום תשואה)'!שנות_עבודה_שנותרו)</f>
        <v>6390211.971</v>
      </c>
      <c r="D46" s="48">
        <f>-FV(D$21,'תכנון פרישה (מקסימום תשואה)'!שנות_עבודה_שנותרו,$D$15*12*$A46)+('תכנון פרישה (מקסימום תשואה)'!חסכון_נוכחי_2023*(1+D$21)^'תכנון פרישה (מקסימום תשואה)'!שנות_עבודה_שנותרו)</f>
        <v>6626598.663</v>
      </c>
      <c r="E46" s="48">
        <f>-FV(E$21,'תכנון פרישה (מקסימום תשואה)'!שנות_עבודה_שנותרו,$D$15*12*$A46)+('תכנון פרישה (מקסימום תשואה)'!חסכון_נוכחי_2023*(1+E$21)^'תכנון פרישה (מקסימום תשואה)'!שנות_עבודה_שנותרו)</f>
        <v>6872716.788</v>
      </c>
      <c r="F46" s="48">
        <f>-FV(F$21,'תכנון פרישה (מקסימום תשואה)'!שנות_עבודה_שנותרו,$D$15*12*$A46)+('תכנון פרישה (מקסימום תשואה)'!חסכון_נוכחי_2023*(1+F$21)^'תכנון פרישה (מקסימום תשואה)'!שנות_עבודה_שנותרו)</f>
        <v>7128938.111</v>
      </c>
      <c r="G46" s="48">
        <f>-FV(G$21,'תכנון פרישה (מקסימום תשואה)'!שנות_עבודה_שנותרו,$D$15*12*$A46)+('תכנון פרישה (מקסימום תשואה)'!חסכון_נוכחי_2023*(1+G$21)^'תכנון פרישה (מקסימום תשואה)'!שנות_עבודה_שנותרו)</f>
        <v>7395646.515</v>
      </c>
      <c r="H46" s="2"/>
      <c r="I46" s="6"/>
      <c r="J46" s="6"/>
      <c r="K46" s="6"/>
      <c r="L46" s="6"/>
      <c r="M46" s="6"/>
      <c r="N46" s="2"/>
      <c r="O46" s="6"/>
      <c r="P46" s="6"/>
      <c r="Q46" s="6"/>
      <c r="R46" s="6"/>
      <c r="S46" s="6"/>
    </row>
    <row r="47" hidden="1">
      <c r="A47" s="49" t="s">
        <v>40</v>
      </c>
      <c r="B47" s="50">
        <f t="shared" ref="B47:G47" si="11">B46*B$21/12</f>
        <v>15407.99188</v>
      </c>
      <c r="C47" s="50">
        <f t="shared" si="11"/>
        <v>21300.70657</v>
      </c>
      <c r="D47" s="50">
        <f t="shared" si="11"/>
        <v>27610.82776</v>
      </c>
      <c r="E47" s="50">
        <f t="shared" si="11"/>
        <v>34363.58394</v>
      </c>
      <c r="F47" s="50">
        <f t="shared" si="11"/>
        <v>41585.47232</v>
      </c>
      <c r="G47" s="50">
        <f t="shared" si="11"/>
        <v>49304.3101</v>
      </c>
      <c r="H47" s="2"/>
      <c r="I47" s="6"/>
      <c r="J47" s="6"/>
      <c r="K47" s="6"/>
      <c r="L47" s="6"/>
      <c r="M47" s="6"/>
      <c r="N47" s="2"/>
      <c r="O47" s="6"/>
      <c r="P47" s="6"/>
      <c r="Q47" s="6"/>
      <c r="R47" s="6"/>
      <c r="S47" s="6"/>
    </row>
    <row r="48" hidden="1">
      <c r="A48" s="51" t="str">
        <f>"כמה נמשוך כולל הקרן , מהפרישה ועד גיל "&amp;$E$4&amp;""</f>
        <v>כמה נמשוך כולל הקרן , מהפרישה ועד גיל 60</v>
      </c>
      <c r="B48" s="52">
        <f>-PMT(B$21,'תכנון פרישה (מקסימום תשואה)'!גיל_הפנסיה-'תכנון פרישה (מקסימום תשואה)'!הגיל_שלנו_2023-'תכנון פרישה (מקסימום תשואה)'!שנות_עבודה_שנותרו,B46)/12</f>
        <v>29494.93903</v>
      </c>
      <c r="C48" s="52">
        <f>-PMT(C$21,'תכנון פרישה (מקסימום תשואה)'!גיל_הפנסיה-'תכנון פרישה (מקסימום תשואה)'!הגיל_שלנו_2023-'תכנון פרישה (מקסימום תשואה)'!שנות_עבודה_שנותרו,C46)/12</f>
        <v>34087.50091</v>
      </c>
      <c r="D48" s="52">
        <f>-PMT(D$21,'תכנון פרישה (מקסימום תשואה)'!גיל_הפנסיה-'תכנון פרישה (מקסימום תשואה)'!הגיל_שלנו_2023-'תכנון פרישה (מקסימום תשואה)'!שנות_עבודה_שנותרו,D46)/12</f>
        <v>39181.12156</v>
      </c>
      <c r="E48" s="52">
        <f>-PMT(E$21,'תכנון פרישה (מקסימום תשואה)'!גיל_הפנסיה-'תכנון פרישה (מקסימום תשואה)'!הגיל_שלנו_2023-'תכנון פרישה (מקסימום תשואה)'!שנות_עבודה_שנותרו,E46)/12</f>
        <v>44802.50663</v>
      </c>
      <c r="F48" s="54">
        <f>-PMT(F$21,'תכנון פרישה (מקסימום תשואה)'!גיל_הפנסיה-'תכנון פרישה (מקסימום תשואה)'!הגיל_שלנו_2023-'תכנון פרישה (מקסימום תשואה)'!שנות_עבודה_שנותרו,F46)/12</f>
        <v>50978.15555</v>
      </c>
      <c r="G48" s="52">
        <f>-PMT(G$21,'תכנון פרישה (מקסימום תשואה)'!גיל_הפנסיה-'תכנון פרישה (מקסימום תשואה)'!הגיל_שלנו_2023-'תכנון פרישה (מקסימום תשואה)'!שנות_עבודה_שנותרו,G46)/12</f>
        <v>57734.59465</v>
      </c>
      <c r="H48" s="2"/>
      <c r="I48" s="6"/>
      <c r="J48" s="6"/>
      <c r="K48" s="6"/>
      <c r="L48" s="6"/>
      <c r="M48" s="6"/>
      <c r="N48" s="2"/>
      <c r="O48" s="6"/>
      <c r="P48" s="6"/>
      <c r="Q48" s="6"/>
      <c r="R48" s="6"/>
      <c r="S48" s="6"/>
    </row>
    <row r="49">
      <c r="A49" s="6"/>
      <c r="B49" s="6"/>
      <c r="C49" s="6"/>
      <c r="D49" s="6"/>
      <c r="E49" s="6"/>
      <c r="F49" s="19"/>
      <c r="G49" s="6"/>
      <c r="H49" s="2"/>
      <c r="I49" s="6"/>
      <c r="J49" s="6"/>
      <c r="K49" s="6"/>
      <c r="L49" s="6"/>
      <c r="M49" s="6"/>
      <c r="N49" s="2"/>
      <c r="O49" s="6"/>
      <c r="P49" s="6"/>
      <c r="Q49" s="6"/>
      <c r="R49" s="6"/>
      <c r="S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</row>
  </sheetData>
  <mergeCells count="13">
    <mergeCell ref="D4:D5"/>
    <mergeCell ref="E4:E5"/>
    <mergeCell ref="D14:F14"/>
    <mergeCell ref="D15:F15"/>
    <mergeCell ref="A20:G20"/>
    <mergeCell ref="K23:K25"/>
    <mergeCell ref="A1:G1"/>
    <mergeCell ref="I1:M1"/>
    <mergeCell ref="O1:R1"/>
    <mergeCell ref="A2:A3"/>
    <mergeCell ref="B2:B3"/>
    <mergeCell ref="D2:D3"/>
    <mergeCell ref="E2:E3"/>
  </mergeCells>
  <conditionalFormatting sqref="A22:A24 B22:G48">
    <cfRule type="expression" dxfId="0" priority="1">
      <formula>"F8 &lt; A20"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75"/>
  <cols>
    <col customWidth="1" min="1" max="1" width="44.5"/>
    <col customWidth="1" min="2" max="3" width="12.75"/>
    <col customWidth="1" min="4" max="4" width="31.88"/>
    <col customWidth="1" min="5" max="5" width="15.38"/>
    <col customWidth="1" min="6" max="7" width="12.88"/>
    <col customWidth="1" min="8" max="8" width="9.5"/>
    <col customWidth="1" min="9" max="9" width="7.88"/>
    <col customWidth="1" min="10" max="10" width="13.38"/>
    <col customWidth="1" min="11" max="11" width="18.63"/>
    <col customWidth="1" min="12" max="12" width="13.25"/>
    <col customWidth="1" min="13" max="15" width="7.88"/>
    <col customWidth="1" min="16" max="16" width="9.5"/>
    <col customWidth="1" min="17" max="17" width="17.75"/>
    <col customWidth="1" min="18" max="19" width="7.88"/>
  </cols>
  <sheetData>
    <row r="1">
      <c r="A1" s="1" t="s">
        <v>0</v>
      </c>
      <c r="H1" s="2"/>
      <c r="I1" s="3" t="s">
        <v>1</v>
      </c>
      <c r="N1" s="2"/>
      <c r="O1" s="3" t="s">
        <v>2</v>
      </c>
      <c r="S1" s="3"/>
    </row>
    <row r="2" ht="19.5" customHeight="1">
      <c r="A2" s="4" t="s">
        <v>3</v>
      </c>
      <c r="B2" s="5">
        <v>11.0</v>
      </c>
      <c r="C2" s="6"/>
      <c r="D2" s="7" t="s">
        <v>47</v>
      </c>
      <c r="E2" s="5">
        <f>'תכנון פרישה'!E2</f>
        <v>30000</v>
      </c>
      <c r="F2" s="6"/>
      <c r="G2" s="6"/>
      <c r="H2" s="2"/>
      <c r="I2" s="6"/>
      <c r="J2" s="6"/>
      <c r="K2" s="8" t="s">
        <v>5</v>
      </c>
      <c r="L2" s="8" t="s">
        <v>6</v>
      </c>
      <c r="M2" s="6"/>
      <c r="N2" s="2"/>
      <c r="O2" s="6"/>
      <c r="P2" s="6"/>
      <c r="Q2" s="8" t="s">
        <v>7</v>
      </c>
      <c r="R2" s="6"/>
      <c r="S2" s="6"/>
    </row>
    <row r="3" ht="23.25" customHeight="1">
      <c r="A3" s="9"/>
      <c r="B3" s="9"/>
      <c r="C3" s="6"/>
      <c r="D3" s="9"/>
      <c r="E3" s="9"/>
      <c r="F3" s="6"/>
      <c r="G3" s="6"/>
      <c r="H3" s="2"/>
      <c r="I3" s="6"/>
      <c r="J3" s="10" t="s">
        <v>8</v>
      </c>
      <c r="K3" s="11">
        <f>(8.33%+6%+6.5%)*'תכנון פרישה (מינימום תשואה)'!השכר_הסוציאלי_2023-'תכנון פרישה (מינימום תשואה)'!תקרת_הפקדה_לפנסיה_בשנת_2023</f>
        <v>4507.5</v>
      </c>
      <c r="L3" s="12">
        <f>fv($B$4,$B$2,-K3*12)+'תכנון פרישה (מינימום תשואה)'!קופת_גמל*(1+$B$4)^$B$2</f>
        <v>729476.7477</v>
      </c>
      <c r="M3" s="6"/>
      <c r="N3" s="2"/>
      <c r="O3" s="6"/>
      <c r="P3" s="10" t="s">
        <v>8</v>
      </c>
      <c r="Q3" s="12">
        <f>L3*(1+'תכנון פרישה (מינימום תשואה)'!תשואה_ריאלית)^('תכנון פרישה (מינימום תשואה)'!גיל_הפנסיה-'תכנון פרישה (מינימום תשואה)'!שנות_עבודה_שנותרו-'תכנון פרישה (מינימום תשואה)'!הגיל_שלנו_2023)</f>
        <v>1869870.785</v>
      </c>
      <c r="R3" s="6"/>
      <c r="S3" s="6"/>
    </row>
    <row r="4">
      <c r="A4" s="13" t="s">
        <v>9</v>
      </c>
      <c r="B4" s="14">
        <v>0.04</v>
      </c>
      <c r="C4" s="6"/>
      <c r="D4" s="7" t="s">
        <v>10</v>
      </c>
      <c r="E4" s="5">
        <v>62.0</v>
      </c>
      <c r="F4" s="6"/>
      <c r="G4" s="6"/>
      <c r="H4" s="2"/>
      <c r="I4" s="6"/>
      <c r="J4" s="10" t="s">
        <v>11</v>
      </c>
      <c r="K4" s="11">
        <v>4866.0</v>
      </c>
      <c r="L4" s="12">
        <f>fv($B$4,$B$2,-K4*12)+'תכנון פרישה (מינימום תשואה)'!קרן_פנסיה*(1+$B$4)^$B$2</f>
        <v>1018413.14</v>
      </c>
      <c r="M4" s="6"/>
      <c r="N4" s="2"/>
      <c r="O4" s="6"/>
      <c r="P4" s="10" t="s">
        <v>11</v>
      </c>
      <c r="Q4" s="12">
        <f>L4*(1+'תכנון פרישה (מינימום תשואה)'!תשואה_ריאלית)^('תכנון פרישה (מינימום תשואה)'!גיל_הפנסיה-'תכנון פרישה (מינימום תשואה)'!שנות_עבודה_שנותרו-'תכנון פרישה (מינימום תשואה)'!הגיל_שלנו_2023)</f>
        <v>2610502.643</v>
      </c>
      <c r="R4" s="6"/>
      <c r="S4" s="6"/>
    </row>
    <row r="5">
      <c r="A5" s="13" t="s">
        <v>12</v>
      </c>
      <c r="B5" s="15">
        <f>'תכנון פרישה'!B5</f>
        <v>70000</v>
      </c>
      <c r="C5" s="6"/>
      <c r="D5" s="9"/>
      <c r="E5" s="9"/>
      <c r="F5" s="6"/>
      <c r="G5" s="6"/>
      <c r="H5" s="2"/>
      <c r="I5" s="6"/>
      <c r="J5" s="16" t="s">
        <v>13</v>
      </c>
      <c r="K5" s="17">
        <f>1571*2</f>
        <v>3142</v>
      </c>
      <c r="L5" s="18">
        <f t="shared" ref="L5:L6" si="1">fv($B$4,$B$2,-K5*12)+B5*(1+$B$4)^$B$2</f>
        <v>616251.1774</v>
      </c>
      <c r="M5" s="6"/>
      <c r="N5" s="2"/>
      <c r="O5" s="6"/>
      <c r="P5" s="8"/>
      <c r="Q5" s="19"/>
      <c r="R5" s="6"/>
      <c r="S5" s="6"/>
    </row>
    <row r="6">
      <c r="A6" s="13" t="s">
        <v>14</v>
      </c>
      <c r="B6" s="15">
        <f>'תכנון פרישה'!B6</f>
        <v>100000</v>
      </c>
      <c r="C6" s="6"/>
      <c r="D6" s="6"/>
      <c r="E6" s="20"/>
      <c r="F6" s="20"/>
      <c r="G6" s="6"/>
      <c r="H6" s="2"/>
      <c r="I6" s="6"/>
      <c r="J6" s="16" t="s">
        <v>14</v>
      </c>
      <c r="K6" s="21">
        <f>-E12-sum(K3:K5)</f>
        <v>42979.24082</v>
      </c>
      <c r="L6" s="18">
        <f t="shared" si="1"/>
        <v>7109543.146</v>
      </c>
      <c r="M6" s="6"/>
      <c r="N6" s="2"/>
      <c r="O6" s="6"/>
      <c r="P6" s="10" t="s">
        <v>48</v>
      </c>
      <c r="Q6" s="12">
        <f>SUM(Q3:Q4)/(202+4*(67-E4))</f>
        <v>20181.86229</v>
      </c>
      <c r="R6" s="6"/>
      <c r="S6" s="6"/>
    </row>
    <row r="7">
      <c r="A7" s="13" t="s">
        <v>11</v>
      </c>
      <c r="B7" s="15">
        <f>'תכנון פרישה'!B7</f>
        <v>150000</v>
      </c>
      <c r="C7" s="6"/>
      <c r="D7" s="6"/>
      <c r="E7" s="20"/>
      <c r="F7" s="20"/>
      <c r="G7" s="6"/>
      <c r="H7" s="2"/>
      <c r="I7" s="6"/>
      <c r="J7" s="6"/>
      <c r="K7" s="22"/>
      <c r="L7" s="6"/>
      <c r="M7" s="6"/>
      <c r="N7" s="2"/>
      <c r="O7" s="6"/>
      <c r="P7" s="6"/>
      <c r="Q7" s="6"/>
      <c r="R7" s="6"/>
      <c r="S7" s="6"/>
    </row>
    <row r="8">
      <c r="A8" s="13" t="s">
        <v>16</v>
      </c>
      <c r="B8" s="15" t="str">
        <f>'תכנון פרישה'!B8</f>
        <v/>
      </c>
      <c r="C8" s="6"/>
      <c r="D8" s="6"/>
      <c r="E8" s="20"/>
      <c r="F8" s="20"/>
      <c r="G8" s="6"/>
      <c r="H8" s="2"/>
      <c r="I8" s="6"/>
      <c r="J8" s="8" t="s">
        <v>17</v>
      </c>
      <c r="K8" s="18">
        <f>L5+L6</f>
        <v>7725794.323</v>
      </c>
      <c r="L8" s="6"/>
      <c r="M8" s="6"/>
      <c r="N8" s="2"/>
      <c r="O8" s="6"/>
      <c r="P8" s="6"/>
      <c r="R8" s="6"/>
      <c r="S8" s="6"/>
    </row>
    <row r="9">
      <c r="A9" s="23" t="s">
        <v>18</v>
      </c>
      <c r="B9" s="24">
        <f>'תכנון פרישה'!B9</f>
        <v>0.045</v>
      </c>
      <c r="C9" s="6"/>
      <c r="D9" s="6"/>
      <c r="E9" s="20" t="s">
        <v>19</v>
      </c>
      <c r="F9" s="20" t="s">
        <v>20</v>
      </c>
      <c r="G9" s="6"/>
      <c r="H9" s="2"/>
      <c r="I9" s="6"/>
      <c r="J9" s="8" t="s">
        <v>21</v>
      </c>
      <c r="K9" s="25">
        <f>E4-B2-B14</f>
        <v>24</v>
      </c>
      <c r="L9" s="8" t="s">
        <v>22</v>
      </c>
      <c r="M9" s="6"/>
      <c r="N9" s="2"/>
      <c r="O9" s="6"/>
      <c r="P9" s="6"/>
    </row>
    <row r="10">
      <c r="A10" s="13" t="s">
        <v>23</v>
      </c>
      <c r="B10" s="15">
        <f>'תכנון פרישה'!B10</f>
        <v>900000</v>
      </c>
      <c r="C10" s="6"/>
      <c r="D10" s="23" t="s">
        <v>24</v>
      </c>
      <c r="E10" s="26">
        <f>PMT(B9,$B$2,B10)/12</f>
        <v>-8793.613625</v>
      </c>
      <c r="F10" s="27">
        <f t="shared" ref="F10:F12" si="2">-E10/$D$15</f>
        <v>0.09326298753</v>
      </c>
      <c r="G10" s="6"/>
      <c r="H10" s="2"/>
      <c r="I10" s="6"/>
      <c r="J10" s="8" t="s">
        <v>25</v>
      </c>
      <c r="K10" s="28">
        <f>E2*12/K8</f>
        <v>0.0465971504</v>
      </c>
      <c r="L10" s="8" t="s">
        <v>26</v>
      </c>
      <c r="M10" s="6"/>
      <c r="N10" s="2"/>
      <c r="O10" s="6"/>
      <c r="P10" s="6"/>
      <c r="Q10" s="6"/>
      <c r="R10" s="6"/>
      <c r="S10" s="6"/>
    </row>
    <row r="11" hidden="1">
      <c r="A11" s="13" t="s">
        <v>27</v>
      </c>
      <c r="B11" s="29">
        <f>E2*12*('תכנון פרישה (מינימום תשואה)'!גיל_הפנסיה-'תכנון פרישה (מינימום תשואה)'!הגיל_שלנו_2023-'תכנון פרישה (מינימום תשואה)'!שנות_עבודה_שנותרו)</f>
        <v>8640000</v>
      </c>
      <c r="C11" s="6"/>
      <c r="D11" s="23" t="s">
        <v>28</v>
      </c>
      <c r="E11" s="30">
        <f>PMT($B$4,$B$2, ,B11-($B$5*(1+$B$4)^$B$2))/12</f>
        <v>-52721.43887</v>
      </c>
      <c r="F11" s="27">
        <f t="shared" si="2"/>
        <v>0.5591511187</v>
      </c>
      <c r="G11" s="6"/>
      <c r="H11" s="2"/>
      <c r="I11" s="6"/>
      <c r="M11" s="6"/>
      <c r="N11" s="2"/>
      <c r="O11" s="6"/>
      <c r="P11" s="6"/>
      <c r="R11" s="6"/>
      <c r="S11" s="6"/>
    </row>
    <row r="12">
      <c r="A12" s="13" t="s">
        <v>29</v>
      </c>
      <c r="B12" s="31">
        <f>E2*12/'תכנון פרישה (מינימום תשואה)'!שיעור_משיכה_בטוח</f>
        <v>9473684.211</v>
      </c>
      <c r="C12" s="6"/>
      <c r="D12" s="23" t="s">
        <v>28</v>
      </c>
      <c r="E12" s="32">
        <f>PMT($B$4,$B$2, ,B12-(($B$5+$B$6+$B$7+$B$8)*(1+$B$4)^$B$2))/12</f>
        <v>-55494.74082</v>
      </c>
      <c r="F12" s="27">
        <f t="shared" si="2"/>
        <v>0.5885641037</v>
      </c>
      <c r="G12" s="6"/>
      <c r="H12" s="2"/>
      <c r="I12" s="6"/>
      <c r="J12" s="6"/>
      <c r="K12" s="6"/>
      <c r="L12" s="6"/>
      <c r="M12" s="6"/>
      <c r="N12" s="2"/>
      <c r="O12" s="6"/>
      <c r="P12" s="6"/>
      <c r="Q12" s="6"/>
      <c r="R12" s="6"/>
      <c r="S12" s="6"/>
    </row>
    <row r="13">
      <c r="A13" s="13" t="s">
        <v>30</v>
      </c>
      <c r="B13" s="15">
        <f>'תכנון פרישה'!B13</f>
        <v>45000</v>
      </c>
      <c r="C13" s="6"/>
      <c r="D13" s="6"/>
      <c r="E13" s="33"/>
      <c r="F13" s="6"/>
      <c r="G13" s="6"/>
      <c r="H13" s="2"/>
      <c r="I13" s="6"/>
      <c r="J13" s="6"/>
      <c r="K13" s="6"/>
      <c r="L13" s="6"/>
      <c r="M13" s="6"/>
      <c r="N13" s="2"/>
      <c r="O13" s="6"/>
      <c r="P13" s="6"/>
      <c r="Q13" s="6"/>
      <c r="R13" s="6"/>
      <c r="S13" s="6"/>
    </row>
    <row r="14">
      <c r="A14" s="13" t="s">
        <v>31</v>
      </c>
      <c r="B14" s="15">
        <f>'תכנון פרישה'!B14</f>
        <v>27</v>
      </c>
      <c r="C14" s="6"/>
      <c r="D14" s="34" t="s">
        <v>49</v>
      </c>
      <c r="E14" s="35"/>
      <c r="F14" s="36"/>
      <c r="G14" s="6"/>
      <c r="H14" s="2"/>
      <c r="I14" s="6"/>
      <c r="J14" s="6"/>
      <c r="K14" s="6"/>
      <c r="L14" s="6"/>
      <c r="M14" s="6"/>
      <c r="N14" s="2"/>
      <c r="O14" s="6"/>
      <c r="P14" s="6"/>
      <c r="Q14" s="6"/>
      <c r="R14" s="6"/>
      <c r="S14" s="6"/>
    </row>
    <row r="15">
      <c r="A15" s="13" t="s">
        <v>33</v>
      </c>
      <c r="B15" s="14">
        <v>0.038</v>
      </c>
      <c r="C15" s="6"/>
      <c r="D15" s="38">
        <f>E2-E10-E12</f>
        <v>94288.35445</v>
      </c>
      <c r="E15" s="39"/>
      <c r="F15" s="40"/>
      <c r="G15" s="6"/>
      <c r="H15" s="2"/>
      <c r="I15" s="6"/>
      <c r="J15" s="20"/>
      <c r="K15" s="6"/>
      <c r="L15" s="6"/>
      <c r="M15" s="6"/>
      <c r="N15" s="2"/>
      <c r="O15" s="6"/>
      <c r="P15" s="20"/>
      <c r="Q15" s="6"/>
      <c r="R15" s="6"/>
      <c r="S15" s="6"/>
    </row>
    <row r="16">
      <c r="A16" s="6"/>
      <c r="B16" s="6"/>
      <c r="C16" s="6"/>
      <c r="D16" s="13" t="s">
        <v>34</v>
      </c>
      <c r="E16" s="13" t="s">
        <v>35</v>
      </c>
      <c r="F16" s="41" t="s">
        <v>36</v>
      </c>
      <c r="G16" s="6"/>
      <c r="H16" s="2"/>
      <c r="I16" s="6"/>
      <c r="J16" s="20"/>
      <c r="K16" s="6"/>
      <c r="L16" s="6"/>
      <c r="M16" s="6"/>
      <c r="N16" s="2"/>
      <c r="O16" s="6"/>
      <c r="P16" s="20"/>
      <c r="Q16" s="6"/>
      <c r="R16" s="6"/>
      <c r="S16" s="6"/>
    </row>
    <row r="17">
      <c r="A17" s="6"/>
      <c r="B17" s="6"/>
      <c r="C17" s="6"/>
      <c r="D17" s="42">
        <f>55%*B13</f>
        <v>24750</v>
      </c>
      <c r="E17" s="42">
        <f>(20.833%)*B13+1571*2</f>
        <v>12516.85</v>
      </c>
      <c r="F17" s="42">
        <f>D15-D17-E17</f>
        <v>57021.50445</v>
      </c>
      <c r="G17" s="6"/>
      <c r="H17" s="2"/>
      <c r="I17" s="6"/>
      <c r="J17" s="20"/>
      <c r="K17" s="6"/>
      <c r="L17" s="6"/>
      <c r="M17" s="6"/>
      <c r="N17" s="2"/>
      <c r="O17" s="6"/>
      <c r="P17" s="20"/>
      <c r="Q17" s="6"/>
      <c r="R17" s="6"/>
      <c r="S17" s="6"/>
    </row>
    <row r="18">
      <c r="A18" s="6"/>
      <c r="B18" s="6"/>
      <c r="C18" s="6"/>
      <c r="D18" s="6"/>
      <c r="E18" s="6"/>
      <c r="F18" s="6"/>
      <c r="G18" s="6"/>
      <c r="H18" s="2"/>
      <c r="I18" s="6"/>
      <c r="J18" s="6"/>
      <c r="K18" s="6"/>
      <c r="L18" s="6"/>
      <c r="M18" s="6"/>
      <c r="N18" s="2"/>
      <c r="O18" s="6"/>
      <c r="P18" s="6"/>
      <c r="Q18" s="6"/>
      <c r="R18" s="6"/>
      <c r="S18" s="6"/>
    </row>
    <row r="19">
      <c r="A19" s="6"/>
      <c r="B19" s="6"/>
      <c r="C19" s="6"/>
      <c r="D19" s="6"/>
      <c r="E19" s="8" t="s">
        <v>37</v>
      </c>
      <c r="F19" s="42">
        <f>F17*12*2/3.7</f>
        <v>369869.218</v>
      </c>
      <c r="G19" s="6"/>
      <c r="H19" s="2"/>
      <c r="I19" s="6"/>
      <c r="J19" s="6"/>
      <c r="K19" s="6"/>
      <c r="L19" s="6"/>
      <c r="M19" s="6"/>
      <c r="N19" s="2"/>
      <c r="O19" s="6"/>
      <c r="P19" s="6"/>
      <c r="Q19" s="6"/>
      <c r="R19" s="6"/>
      <c r="S19" s="6"/>
    </row>
    <row r="20" hidden="1">
      <c r="A20" s="43" t="s">
        <v>38</v>
      </c>
      <c r="B20" s="39"/>
      <c r="C20" s="39"/>
      <c r="D20" s="39"/>
      <c r="E20" s="39"/>
      <c r="F20" s="39"/>
      <c r="G20" s="40"/>
      <c r="H20" s="2"/>
      <c r="I20" s="6"/>
      <c r="J20" s="6"/>
      <c r="K20" s="6"/>
      <c r="L20" s="6"/>
      <c r="M20" s="6"/>
      <c r="N20" s="2"/>
      <c r="O20" s="6"/>
      <c r="P20" s="6"/>
      <c r="Q20" s="6"/>
      <c r="R20" s="6"/>
      <c r="S20" s="6"/>
    </row>
    <row r="21" hidden="1">
      <c r="A21" s="44" t="s">
        <v>39</v>
      </c>
      <c r="B21" s="45">
        <v>0.03</v>
      </c>
      <c r="C21" s="45">
        <v>0.04</v>
      </c>
      <c r="D21" s="45">
        <v>0.05</v>
      </c>
      <c r="E21" s="45">
        <v>0.06</v>
      </c>
      <c r="F21" s="45">
        <v>0.07</v>
      </c>
      <c r="G21" s="46">
        <v>0.08</v>
      </c>
      <c r="H21" s="2"/>
      <c r="I21" s="6"/>
      <c r="J21" s="6"/>
      <c r="K21" s="6"/>
      <c r="L21" s="6"/>
      <c r="M21" s="6"/>
      <c r="N21" s="2"/>
      <c r="O21" s="6"/>
      <c r="P21" s="6"/>
      <c r="Q21" s="6"/>
      <c r="R21" s="6"/>
      <c r="S21" s="6"/>
    </row>
    <row r="22" hidden="1">
      <c r="A22" s="47">
        <v>0.1</v>
      </c>
      <c r="B22" s="48">
        <f>-FV(B$21,'תכנון פרישה (מינימום תשואה)'!שנות_עבודה_שנותרו,$D$15*12*$A22)+('תכנון פרישה (מינימום תשואה)'!חסכון_נוכחי_2023*(1+B$21)^'תכנון פרישה (מינימום תשואה)'!שנות_עבודה_שנותרו)</f>
        <v>1546047.547</v>
      </c>
      <c r="C22" s="48">
        <f>-FV(C$21,'תכנון פרישה (מינימום תשואה)'!שנות_עבודה_שנותרו,$D$15*12*$A22)+('תכנון פרישה (מינימום תשואה)'!חסכון_נוכחי_2023*(1+C$21)^'תכנון פרישה (מינימום תשואה)'!שנות_עבודה_שנותרו)</f>
        <v>1633688.842</v>
      </c>
      <c r="D22" s="48">
        <f>-FV(D$21,'תכנון פרישה (מינימום תשואה)'!שנות_עבודה_שנותרו,$D$15*12*$A22)+('תכנון פרישה (מינימום תשואה)'!חסכון_נוכחי_2023*(1+D$21)^'תכנון פרישה (מינימום תשואה)'!שנות_עבודה_שנותרו)</f>
        <v>1727165.255</v>
      </c>
      <c r="E22" s="48">
        <f>-FV(E$21,'תכנון פרישה (מינימום תשואה)'!שנות_עבודה_שנותרו,$D$15*12*$A22)+('תכנון פרישה (מינימום תשואה)'!חסכון_נוכחי_2023*(1+E$21)^'תכנון פרישה (מינימום תשואה)'!שנות_עבודה_שנותרו)</f>
        <v>1826862.756</v>
      </c>
      <c r="F22" s="48">
        <f>-FV(F$21,'תכנון פרישה (מינימום תשואה)'!שנות_עבודה_שנותרו,$D$15*12*$A22)+('תכנון פרישה (מינימום תשואה)'!חסכון_נוכחי_2023*(1+F$21)^'תכנון פרישה (מינימום תשואה)'!שנות_עבודה_שנותרו)</f>
        <v>1933191.165</v>
      </c>
      <c r="G22" s="48">
        <f>-FV(G$21,'תכנון פרישה (מינימום תשואה)'!שנות_עבודה_שנותרו,$D$15*12*$A22)+('תכנון פרישה (מינימום תשואה)'!חסכון_נוכחי_2023*(1+G$21)^'תכנון פרישה (מינימום תשואה)'!שנות_עבודה_שנותרו)</f>
        <v>2046585.476</v>
      </c>
      <c r="H22" s="2"/>
      <c r="I22" s="6"/>
      <c r="J22" s="6"/>
      <c r="K22" s="6"/>
      <c r="L22" s="6"/>
      <c r="M22" s="6"/>
      <c r="N22" s="2"/>
      <c r="O22" s="6"/>
      <c r="P22" s="6"/>
      <c r="Q22" s="6"/>
      <c r="R22" s="6"/>
      <c r="S22" s="6"/>
    </row>
    <row r="23" ht="15.0" hidden="1" customHeight="1">
      <c r="A23" s="49" t="s">
        <v>40</v>
      </c>
      <c r="B23" s="50">
        <f t="shared" ref="B23:G23" si="3">B22*B$21/12</f>
        <v>3865.118867</v>
      </c>
      <c r="C23" s="50">
        <f t="shared" si="3"/>
        <v>5445.629474</v>
      </c>
      <c r="D23" s="50">
        <f t="shared" si="3"/>
        <v>7196.521897</v>
      </c>
      <c r="E23" s="50">
        <f t="shared" si="3"/>
        <v>9134.313782</v>
      </c>
      <c r="F23" s="50">
        <f t="shared" si="3"/>
        <v>11276.94846</v>
      </c>
      <c r="G23" s="50">
        <f t="shared" si="3"/>
        <v>13643.90317</v>
      </c>
      <c r="H23" s="2"/>
      <c r="I23" s="6"/>
      <c r="J23" s="6"/>
      <c r="K23" s="6"/>
      <c r="L23" s="6"/>
      <c r="M23" s="6"/>
      <c r="N23" s="2"/>
      <c r="O23" s="6"/>
      <c r="P23" s="6"/>
      <c r="Q23" s="6"/>
      <c r="R23" s="6"/>
      <c r="S23" s="6"/>
    </row>
    <row r="24" ht="15.0" hidden="1" customHeight="1">
      <c r="A24" s="51" t="str">
        <f>"כמה נמשוך כולל הקרן , מהפרישה ועד גיל "&amp;$E$4&amp;""</f>
        <v>כמה נמשוך כולל הקרן , מהפרישה ועד גיל 62</v>
      </c>
      <c r="B24" s="52">
        <f>-PMT(B$21,'תכנון פרישה (מינימום תשואה)'!גיל_הפנסיה-'תכנון פרישה (מינימום תשואה)'!הגיל_שלנו_2023-'תכנון פרישה (מינימום תשואה)'!שנות_עבודה_שנותרו,B22)/12</f>
        <v>7607.509381</v>
      </c>
      <c r="C24" s="52">
        <f>-PMT(C$21,'תכנון פרישה (מינימום תשואה)'!גיל_הפנסיה-'תכנון פרישה (מינימום תשואה)'!הגיל_שלנו_2023-'תכנון פרישה (מינימום תשואה)'!שנות_עבודה_שנותרו,C22)/12</f>
        <v>8929.039546</v>
      </c>
      <c r="D24" s="52">
        <f>-PMT(D$21,'תכנון פרישה (מינימום תשואה)'!גיל_הפנסיה-'תכנון פרישה (מינימום תשואה)'!הגיל_שלנו_2023-'תכנון פרישה (מינימום תשואה)'!שנות_עבודה_שנותרו,D22)/12</f>
        <v>10430.76848</v>
      </c>
      <c r="E24" s="52">
        <f>-PMT(E$21,'תכנון פרישה (מינימום תשואה)'!גיל_הפנסיה-'תכנון פרישה (מינימום תשואה)'!הגיל_שלנו_2023-'תכנון פרישה (מינימום תשואה)'!שנות_עבודה_שנותרו,E22)/12</f>
        <v>12130.21722</v>
      </c>
      <c r="F24" s="52">
        <f>-PMT(F$21,'תכנון פרישה (מינימום תשואה)'!גיל_הפנסיה-'תכנון פרישה (מינימום תשואה)'!הגיל_שלנו_2023-'תכנון פרישה (מינימום תשואה)'!שנות_עבודה_שנותרו,F22)/12</f>
        <v>14046.08705</v>
      </c>
      <c r="G24" s="52">
        <f>-PMT(G$21,'תכנון פרישה (מינימום תשואה)'!גיל_הפנסיה-'תכנון פרישה (מינימום תשואה)'!הגיל_שלנו_2023-'תכנון פרישה (מינימום תשואה)'!שנות_עבודה_שנותרו,G22)/12</f>
        <v>16198.3764</v>
      </c>
      <c r="H24" s="2"/>
      <c r="I24" s="6"/>
      <c r="J24" s="6"/>
      <c r="L24" s="6"/>
      <c r="M24" s="6"/>
      <c r="N24" s="2"/>
      <c r="O24" s="6"/>
      <c r="P24" s="6"/>
      <c r="Q24" s="6"/>
      <c r="R24" s="6"/>
      <c r="S24" s="6"/>
    </row>
    <row r="25" hidden="1">
      <c r="A25" s="47">
        <v>0.15</v>
      </c>
      <c r="B25" s="48">
        <f>-FV(B$21,'תכנון פרישה (מינימום תשואה)'!שנות_עבודה_שנותרו,$D$15*12*$A25)+('תכנון פרישה (מינימום תשואה)'!חסכון_נוכחי_2023*(1+B$21)^'תכנון פרישה (מינימום תשואה)'!שנות_עבודה_שנותרו)</f>
        <v>2270623.135</v>
      </c>
      <c r="C25" s="48">
        <f>-FV(C$21,'תכנון פרישה (מינימום תשואה)'!שנות_עבודה_שנותרו,$D$15*12*$A25)+('תכנון פרישה (מינימום תשואה)'!חסכון_נוכחי_2023*(1+C$21)^'תכנון פרישה (מינימום תשואה)'!שנות_עבודה_שנותרו)</f>
        <v>2396652.371</v>
      </c>
      <c r="D25" s="48">
        <f>-FV(D$21,'תכנון פרישה (מינימום תשואה)'!שנות_עבודה_שנותרו,$D$15*12*$A25)+('תכנון פרישה (מינימום תשואה)'!חסכון_נוכחי_2023*(1+D$21)^'תכנון פרישה (מינימום תשואה)'!שנות_עבודה_שנותרו)</f>
        <v>2530886.005</v>
      </c>
      <c r="E25" s="48">
        <f>-FV(E$21,'תכנון פרישה (מינימום תשואה)'!שנות_עבודה_שנותרו,$D$15*12*$A25)+('תכנון פרישה (מינימום תשואה)'!חסכון_נוכחי_2023*(1+E$21)^'תכנון פרישה (מינימום תשואה)'!שנות_עבודה_שנותרו)</f>
        <v>2673853.685</v>
      </c>
      <c r="F25" s="48">
        <f>-FV(F$21,'תכנון פרישה (מינימום תשואה)'!שנות_עבודה_שנותרו,$D$15*12*$A25)+('תכנון פרישה (מינימום תשואה)'!חסכון_נוכחי_2023*(1+F$21)^'תכנון פרישה (מינימום תשואה)'!שנות_עבודה_שנותרו)</f>
        <v>2826116.929</v>
      </c>
      <c r="G25" s="48">
        <f>-FV(G$21,'תכנון פרישה (מינימום תשואה)'!שנות_עבודה_שנותרו,$D$15*12*$A25)+('תכנון פרישה (מינימום תשואה)'!חסכון_נוכחי_2023*(1+G$21)^'תכנון פרישה (מינימום תשואה)'!שנות_עבודה_שנותרו)</f>
        <v>2988270.849</v>
      </c>
      <c r="H25" s="2"/>
      <c r="I25" s="6"/>
      <c r="J25" s="6"/>
      <c r="L25" s="6"/>
      <c r="M25" s="6"/>
      <c r="N25" s="2"/>
      <c r="O25" s="6"/>
      <c r="P25" s="6"/>
      <c r="Q25" s="6"/>
      <c r="R25" s="6"/>
      <c r="S25" s="6"/>
    </row>
    <row r="26" ht="15.0" hidden="1" customHeight="1">
      <c r="A26" s="49" t="s">
        <v>40</v>
      </c>
      <c r="B26" s="50">
        <f t="shared" ref="B26:G26" si="4">B25*B$21/12</f>
        <v>5676.557837</v>
      </c>
      <c r="C26" s="50">
        <f t="shared" si="4"/>
        <v>7988.841237</v>
      </c>
      <c r="D26" s="50">
        <f t="shared" si="4"/>
        <v>10545.35836</v>
      </c>
      <c r="E26" s="50">
        <f t="shared" si="4"/>
        <v>13369.26843</v>
      </c>
      <c r="F26" s="50">
        <f t="shared" si="4"/>
        <v>16485.68209</v>
      </c>
      <c r="G26" s="50">
        <f t="shared" si="4"/>
        <v>19921.80566</v>
      </c>
      <c r="H26" s="2"/>
      <c r="I26" s="6"/>
      <c r="J26" s="6"/>
      <c r="K26" s="6"/>
      <c r="L26" s="6"/>
      <c r="M26" s="6"/>
      <c r="N26" s="2"/>
      <c r="O26" s="6"/>
      <c r="P26" s="6"/>
      <c r="Q26" s="6"/>
      <c r="R26" s="6"/>
      <c r="S26" s="6"/>
    </row>
    <row r="27" ht="15.0" hidden="1" customHeight="1">
      <c r="A27" s="51" t="str">
        <f>"כמה נמשוך כולל הקרן , מהפרישה ועד גיל "&amp;$E$4&amp;""</f>
        <v>כמה נמשוך כולל הקרן , מהפרישה ועד גיל 62</v>
      </c>
      <c r="B27" s="52">
        <f>-PMT(B$21,'תכנון פרישה (מינימום תשואה)'!גיל_הפנסיה-'תכנון פרישה (מינימום תשואה)'!הגיל_שלנו_2023-'תכנון פרישה (מינימום תשואה)'!שנות_עבודה_שנותרו,B25)/12</f>
        <v>11172.86906</v>
      </c>
      <c r="C27" s="52">
        <f>-PMT(C$21,'תכנון פרישה (מינימום תשואה)'!גיל_הפנסיה-'תכנון פרישה (מינימום תשואה)'!הגיל_שלנו_2023-'תכנון פרישה (מינימום תשואה)'!שנות_עבודה_שנותרו,C25)/12</f>
        <v>13099.06957</v>
      </c>
      <c r="D27" s="52">
        <f>-PMT(D$21,'תכנון פרישה (מינימום תשואה)'!גיל_הפנסיה-'תכנון פרישה (מינימום תשואה)'!הגיל_שלנו_2023-'תכנון פרישה (מינימום תשואה)'!שנות_עבודה_שנותרו,D25)/12</f>
        <v>15284.63238</v>
      </c>
      <c r="E27" s="52">
        <f>-PMT(E$21,'תכנון פרישה (מינימום תשואה)'!גיל_הפנסיה-'תכנון פרישה (מינימום תשואה)'!הגיל_שלנו_2023-'תכנון פרישה (מינימום תשואה)'!שנות_עבודה_שנותרו,E25)/12</f>
        <v>17754.16676</v>
      </c>
      <c r="F27" s="52">
        <f>-PMT(F$21,'תכנון פרישה (מינימום תשואה)'!גיל_הפנסיה-'תכנון פרישה (מינימום תשואה)'!הגיל_שלנו_2023-'תכנון פרישה (מינימום תשואה)'!שנות_עבודה_שנותרו,F25)/12</f>
        <v>20533.86396</v>
      </c>
      <c r="G27" s="52">
        <f>-PMT(G$21,'תכנון פרישה (מינימום תשואה)'!גיל_הפנסיה-'תכנון פרישה (מינימום תשואה)'!הגיל_שלנו_2023-'תכנון פרישה (מינימום תשואה)'!שנות_עבודה_שנותרו,G25)/12</f>
        <v>23651.65616</v>
      </c>
      <c r="H27" s="2"/>
      <c r="I27" s="6"/>
      <c r="J27" s="6"/>
      <c r="K27" s="6"/>
      <c r="L27" s="6"/>
      <c r="M27" s="6"/>
      <c r="N27" s="2"/>
      <c r="O27" s="6"/>
      <c r="P27" s="6"/>
      <c r="Q27" s="6"/>
      <c r="R27" s="6"/>
      <c r="S27" s="6"/>
    </row>
    <row r="28" hidden="1">
      <c r="A28" s="47">
        <v>0.2</v>
      </c>
      <c r="B28" s="48">
        <f>-FV(B$21,'תכנון פרישה (מינימום תשואה)'!שנות_עבודה_שנותרו,$D$15*12*$A28)+('תכנון פרישה (מינימום תשואה)'!חסכון_נוכחי_2023*(1+B$21)^'תכנון פרישה (מינימום תשואה)'!שנות_עבודה_שנותרו)</f>
        <v>2995198.722</v>
      </c>
      <c r="C28" s="48">
        <f>-FV(C$21,'תכנון פרישה (מינימום תשואה)'!שנות_עבודה_שנותרו,$D$15*12*$A28)+('תכנון פרישה (מינימום תשואה)'!חסכון_נוכחי_2023*(1+C$21)^'תכנון פרישה (מינימום תשואה)'!שנות_עבודה_שנותרו)</f>
        <v>3159615.9</v>
      </c>
      <c r="D28" s="48">
        <f>-FV(D$21,'תכנון פרישה (מינימום תשואה)'!שנות_עבודה_שנותרו,$D$15*12*$A28)+('תכנון פרישה (מינימום תשואה)'!חסכון_נוכחי_2023*(1+D$21)^'תכנון פרישה (מינימום תשואה)'!שנות_עבודה_שנותרו)</f>
        <v>3334606.756</v>
      </c>
      <c r="E28" s="48">
        <f>-FV(E$21,'תכנון פרישה (מינימום תשואה)'!שנות_עבודה_שנותרו,$D$15*12*$A28)+('תכנון פרישה (מינימום תשואה)'!חסכון_נוכחי_2023*(1+E$21)^'תכנון פרישה (מינימום תשואה)'!שנות_עבודה_שנותרו)</f>
        <v>3520844.614</v>
      </c>
      <c r="F28" s="48">
        <f>-FV(F$21,'תכנון פרישה (מינימום תשואה)'!שנות_עבודה_שנותרו,$D$15*12*$A28)+('תכנון פרישה (מינימום תשואה)'!חסכון_נוכחי_2023*(1+F$21)^'תכנון פרישה (מינימום תשואה)'!שנות_עבודה_שנותרו)</f>
        <v>3719042.694</v>
      </c>
      <c r="G28" s="48">
        <f>-FV(G$21,'תכנון פרישה (מינימום תשואה)'!שנות_עבודה_שנותרו,$D$15*12*$A28)+('תכנון פרישה (מינימום תשואה)'!חסכון_נוכחי_2023*(1+G$21)^'תכנון פרישה (מינימום תשואה)'!שנות_עבודה_שנותרו)</f>
        <v>3929956.222</v>
      </c>
      <c r="H28" s="2"/>
      <c r="I28" s="6"/>
      <c r="J28" s="6"/>
      <c r="K28" s="6"/>
      <c r="L28" s="6"/>
      <c r="M28" s="6"/>
      <c r="N28" s="2"/>
      <c r="O28" s="6"/>
      <c r="P28" s="6"/>
      <c r="Q28" s="6"/>
      <c r="R28" s="6"/>
      <c r="S28" s="6"/>
    </row>
    <row r="29" ht="15.0" hidden="1" customHeight="1">
      <c r="A29" s="49" t="s">
        <v>40</v>
      </c>
      <c r="B29" s="50">
        <f t="shared" ref="B29:G29" si="5">B28*B$21/12</f>
        <v>7487.996806</v>
      </c>
      <c r="C29" s="50">
        <f t="shared" si="5"/>
        <v>10532.053</v>
      </c>
      <c r="D29" s="50">
        <f t="shared" si="5"/>
        <v>13894.19481</v>
      </c>
      <c r="E29" s="50">
        <f t="shared" si="5"/>
        <v>17604.22307</v>
      </c>
      <c r="F29" s="50">
        <f t="shared" si="5"/>
        <v>21694.41571</v>
      </c>
      <c r="G29" s="50">
        <f t="shared" si="5"/>
        <v>26199.70815</v>
      </c>
      <c r="H29" s="2"/>
      <c r="I29" s="6"/>
      <c r="J29" s="6"/>
      <c r="K29" s="6"/>
      <c r="L29" s="6"/>
      <c r="M29" s="6"/>
      <c r="N29" s="2"/>
      <c r="O29" s="6"/>
      <c r="P29" s="6"/>
      <c r="Q29" s="6"/>
      <c r="R29" s="6"/>
      <c r="S29" s="6"/>
    </row>
    <row r="30" ht="15.0" hidden="1" customHeight="1">
      <c r="A30" s="51" t="str">
        <f>"כמה נמשוך כולל הקרן , מהפרישה ועד גיל "&amp;$E$4&amp;""</f>
        <v>כמה נמשוך כולל הקרן , מהפרישה ועד גיל 62</v>
      </c>
      <c r="B30" s="52">
        <f>-PMT(B$21,'תכנון פרישה (מינימום תשואה)'!גיל_הפנסיה-'תכנון פרישה (מינימום תשואה)'!הגיל_שלנו_2023-'תכנון פרישה (מינימום תשואה)'!שנות_עבודה_שנותרו,B28)/12</f>
        <v>14738.22873</v>
      </c>
      <c r="C30" s="52">
        <f>-PMT(C$21,'תכנון פרישה (מינימום תשואה)'!גיל_הפנסיה-'תכנון פרישה (מינימום תשואה)'!הגיל_שלנו_2023-'תכנון פרישה (מינימום תשואה)'!שנות_עבודה_שנותרו,C28)/12</f>
        <v>17269.0996</v>
      </c>
      <c r="D30" s="52">
        <f>-PMT(D$21,'תכנון פרישה (מינימום תשואה)'!גיל_הפנסיה-'תכנון פרישה (מינימום תשואה)'!הגיל_שלנו_2023-'תכנון פרישה (מינימום תשואה)'!שנות_עבודה_שנותרו,D28)/12</f>
        <v>20138.49627</v>
      </c>
      <c r="E30" s="52">
        <f>-PMT(E$21,'תכנון פרישה (מינימום תשואה)'!גיל_הפנסיה-'תכנון פרישה (מינימום תשואה)'!הגיל_שלנו_2023-'תכנון פרישה (מינימום תשואה)'!שנות_עבודה_שנותרו,E28)/12</f>
        <v>23378.11629</v>
      </c>
      <c r="F30" s="52">
        <f>-PMT(F$21,'תכנון פרישה (מינימום תשואה)'!גיל_הפנסיה-'תכנון פרישה (מינימום תשואה)'!הגיל_שלנו_2023-'תכנון פרישה (מינימום תשואה)'!שנות_עבודה_שנותרו,F28)/12</f>
        <v>27021.64088</v>
      </c>
      <c r="G30" s="52">
        <f>-PMT(G$21,'תכנון פרישה (מינימום תשואה)'!גיל_הפנסיה-'תכנון פרישה (מינימום תשואה)'!הגיל_שלנו_2023-'תכנון פרישה (מינימום תשואה)'!שנות_עבודה_שנותרו,G28)/12</f>
        <v>31104.93593</v>
      </c>
      <c r="H30" s="2"/>
      <c r="I30" s="6"/>
      <c r="J30" s="6"/>
      <c r="K30" s="6"/>
      <c r="L30" s="6"/>
      <c r="M30" s="6"/>
      <c r="N30" s="2"/>
      <c r="O30" s="6"/>
      <c r="P30" s="6"/>
      <c r="Q30" s="6"/>
      <c r="R30" s="6"/>
      <c r="S30" s="6"/>
    </row>
    <row r="31" hidden="1">
      <c r="A31" s="47">
        <v>0.25</v>
      </c>
      <c r="B31" s="48">
        <f>-FV(B$21,'תכנון פרישה (מינימום תשואה)'!שנות_עבודה_שנותרו,$D$15*12*$A31)+('תכנון פרישה (מינימום תשואה)'!חסכון_נוכחי_2023*(1+B$21)^'תכנון פרישה (מינימום תשואה)'!שנות_עבודה_שנותרו)</f>
        <v>3719774.31</v>
      </c>
      <c r="C31" s="48">
        <f>-FV(C$21,'תכנון פרישה (מינימום תשואה)'!שנות_עבודה_שנותרו,$D$15*12*$A31)+('תכנון פרישה (מינימום תשואה)'!חסכון_נוכחי_2023*(1+C$21)^'תכנון פרישה (מינימום תשואה)'!שנות_עבודה_שנותרו)</f>
        <v>3922579.429</v>
      </c>
      <c r="D31" s="48">
        <f>-FV(D$21,'תכנון פרישה (מינימום תשואה)'!שנות_עבודה_שנותרו,$D$15*12*$A31)+('תכנון פרישה (מינימום תשואה)'!חסכון_נוכחי_2023*(1+D$21)^'תכנון פרישה (מינימום תשואה)'!שנות_עבודה_שנותרו)</f>
        <v>4138327.506</v>
      </c>
      <c r="E31" s="48">
        <f>-FV(E$21,'תכנון פרישה (מינימום תשואה)'!שנות_עבודה_שנותרו,$D$15*12*$A31)+('תכנון פרישה (מינימום תשואה)'!חסכון_נוכחי_2023*(1+E$21)^'תכנון פרישה (מינימום תשואה)'!שנות_עבודה_שנותרו)</f>
        <v>4367835.543</v>
      </c>
      <c r="F31" s="48">
        <f>-FV(F$21,'תכנון פרישה (מינימום תשואה)'!שנות_עבודה_שנותרו,$D$15*12*$A31)+('תכנון פרישה (מינימום תשואה)'!חסכון_נוכחי_2023*(1+F$21)^'תכנון פרישה (מינימום תשואה)'!שנות_עבודה_שנותרו)</f>
        <v>4611968.458</v>
      </c>
      <c r="G31" s="48">
        <f>-FV(G$21,'תכנון פרישה (מינימום תשואה)'!שנות_עבודה_שנותרו,$D$15*12*$A31)+('תכנון פרישה (מינימום תשואה)'!חסכון_נוכחי_2023*(1+G$21)^'תכנון פרישה (מינימום תשואה)'!שנות_עבודה_שנותרו)</f>
        <v>4871641.596</v>
      </c>
      <c r="H31" s="2"/>
      <c r="I31" s="6"/>
      <c r="J31" s="6"/>
      <c r="K31" s="6"/>
      <c r="L31" s="6"/>
      <c r="M31" s="6"/>
      <c r="N31" s="2"/>
      <c r="O31" s="6"/>
      <c r="P31" s="6"/>
      <c r="Q31" s="6"/>
      <c r="R31" s="6"/>
      <c r="S31" s="6"/>
    </row>
    <row r="32" ht="15.0" hidden="1" customHeight="1">
      <c r="A32" s="49" t="s">
        <v>40</v>
      </c>
      <c r="B32" s="50">
        <f t="shared" ref="B32:G32" si="6">B31*B$21/12</f>
        <v>9299.435776</v>
      </c>
      <c r="C32" s="50">
        <f t="shared" si="6"/>
        <v>13075.26476</v>
      </c>
      <c r="D32" s="50">
        <f t="shared" si="6"/>
        <v>17243.03127</v>
      </c>
      <c r="E32" s="50">
        <f t="shared" si="6"/>
        <v>21839.17771</v>
      </c>
      <c r="F32" s="50">
        <f t="shared" si="6"/>
        <v>26903.14934</v>
      </c>
      <c r="G32" s="50">
        <f t="shared" si="6"/>
        <v>32477.61064</v>
      </c>
      <c r="H32" s="2"/>
      <c r="I32" s="6"/>
      <c r="J32" s="6"/>
      <c r="K32" s="6"/>
      <c r="L32" s="6"/>
      <c r="M32" s="6"/>
      <c r="N32" s="2"/>
      <c r="O32" s="6"/>
      <c r="P32" s="6"/>
      <c r="Q32" s="6"/>
      <c r="R32" s="6"/>
      <c r="S32" s="6"/>
    </row>
    <row r="33" ht="15.0" hidden="1" customHeight="1">
      <c r="A33" s="51" t="str">
        <f>"כמה נמשוך כולל הקרן , מהפרישה ועד גיל "&amp;$E$4&amp;""</f>
        <v>כמה נמשוך כולל הקרן , מהפרישה ועד גיל 62</v>
      </c>
      <c r="B33" s="52">
        <f>-PMT(B$21,'תכנון פרישה (מינימום תשואה)'!גיל_הפנסיה-'תכנון פרישה (מינימום תשואה)'!הגיל_שלנו_2023-'תכנון פרישה (מינימום תשואה)'!שנות_עבודה_שנותרו,B31)/12</f>
        <v>18303.58841</v>
      </c>
      <c r="C33" s="52">
        <f>-PMT(C$21,'תכנון פרישה (מינימום תשואה)'!גיל_הפנסיה-'תכנון פרישה (מינימום תשואה)'!הגיל_שלנו_2023-'תכנון פרישה (מינימום תשואה)'!שנות_עבודה_שנותרו,C31)/12</f>
        <v>21439.12962</v>
      </c>
      <c r="D33" s="52">
        <f>-PMT(D$21,'תכנון פרישה (מינימום תשואה)'!גיל_הפנסיה-'תכנון פרישה (מינימום תשואה)'!הגיל_שלנו_2023-'תכנון פרישה (מינימום תשואה)'!שנות_עבודה_שנותרו,D31)/12</f>
        <v>24992.36016</v>
      </c>
      <c r="E33" s="52">
        <f>-PMT(E$21,'תכנון פרישה (מינימום תשואה)'!גיל_הפנסיה-'תכנון פרישה (מינימום תשואה)'!הגיל_שלנו_2023-'תכנון פרישה (מינימום תשואה)'!שנות_עבודה_שנותרו,E31)/12</f>
        <v>29002.06583</v>
      </c>
      <c r="F33" s="52">
        <f>-PMT(F$21,'תכנון פרישה (מינימום תשואה)'!גיל_הפנסיה-'תכנון פרישה (מינימום תשואה)'!הגיל_שלנו_2023-'תכנון פרישה (מינימום תשואה)'!שנות_עבודה_שנותרו,F31)/12</f>
        <v>33509.41779</v>
      </c>
      <c r="G33" s="52">
        <f>-PMT(G$21,'תכנון פרישה (מינימום תשואה)'!גיל_הפנסיה-'תכנון פרישה (מינימום תשואה)'!הגיל_שלנו_2023-'תכנון פרישה (מינימום תשואה)'!שנות_עבודה_שנותרו,G31)/12</f>
        <v>38558.2157</v>
      </c>
      <c r="H33" s="2"/>
      <c r="I33" s="6"/>
      <c r="J33" s="6"/>
      <c r="K33" s="6"/>
      <c r="L33" s="6"/>
      <c r="M33" s="6"/>
      <c r="N33" s="2"/>
      <c r="O33" s="6"/>
      <c r="P33" s="6"/>
      <c r="Q33" s="6"/>
      <c r="R33" s="6"/>
      <c r="S33" s="6"/>
    </row>
    <row r="34" hidden="1">
      <c r="A34" s="47">
        <v>0.3</v>
      </c>
      <c r="B34" s="48">
        <f>-FV(B$21,'תכנון פרישה (מינימום תשואה)'!שנות_עבודה_שנותרו,$D$15*12*$A34)+('תכנון פרישה (מינימום תשואה)'!חסכון_נוכחי_2023*(1+B$21)^'תכנון פרישה (מינימום תשואה)'!שנות_עבודה_שנותרו)</f>
        <v>4444349.898</v>
      </c>
      <c r="C34" s="48">
        <f>-FV(C$21,'תכנון פרישה (מינימום תשואה)'!שנות_עבודה_שנותרו,$D$15*12*$A34)+('תכנון פרישה (מינימום תשואה)'!חסכון_נוכחי_2023*(1+C$21)^'תכנון פרישה (מינימום תשואה)'!שנות_עבודה_שנותרו)</f>
        <v>4685542.958</v>
      </c>
      <c r="D34" s="48">
        <f>-FV(D$21,'תכנון פרישה (מינימום תשואה)'!שנות_עבודה_שנותרו,$D$15*12*$A34)+('תכנון פרישה (מינימום תשואה)'!חסכון_נוכחי_2023*(1+D$21)^'תכנון פרישה (מינימום תשואה)'!שנות_עבודה_שנותרו)</f>
        <v>4942048.256</v>
      </c>
      <c r="E34" s="48">
        <f>-FV(E$21,'תכנון פרישה (מינימום תשואה)'!שנות_עבודה_שנותרו,$D$15*12*$A34)+('תכנון פרישה (מינימום תשואה)'!חסכון_נוכחי_2023*(1+E$21)^'תכנון פרישה (מינימום תשואה)'!שנות_עבודה_שנותרו)</f>
        <v>5214826.471</v>
      </c>
      <c r="F34" s="48">
        <f>-FV(F$21,'תכנון פרישה (מינימום תשואה)'!שנות_עבודה_שנותרו,$D$15*12*$A34)+('תכנון פרישה (מינימום תשואה)'!חסכון_נוכחי_2023*(1+F$21)^'תכנון פרישה (מינימום תשואה)'!שנות_עבודה_שנותרו)</f>
        <v>5504894.222</v>
      </c>
      <c r="G34" s="48">
        <f>-FV(G$21,'תכנון פרישה (מינימום תשואה)'!שנות_עבודה_שנותרו,$D$15*12*$A34)+('תכנון פרישה (מינימום תשואה)'!חסכון_נוכחי_2023*(1+G$21)^'תכנון פרישה (מינימום תשואה)'!שנות_עבודה_שנותרו)</f>
        <v>5813326.969</v>
      </c>
      <c r="H34" s="2"/>
      <c r="I34" s="6"/>
      <c r="J34" s="6"/>
      <c r="K34" s="6"/>
      <c r="L34" s="6"/>
      <c r="M34" s="6"/>
      <c r="N34" s="2"/>
      <c r="O34" s="6"/>
      <c r="P34" s="6"/>
      <c r="Q34" s="6"/>
      <c r="R34" s="6"/>
      <c r="S34" s="6"/>
    </row>
    <row r="35" ht="15.0" hidden="1" customHeight="1">
      <c r="A35" s="49" t="s">
        <v>40</v>
      </c>
      <c r="B35" s="50">
        <f t="shared" ref="B35:G35" si="7">B34*B$21/12</f>
        <v>11110.87475</v>
      </c>
      <c r="C35" s="50">
        <f t="shared" si="7"/>
        <v>15618.47653</v>
      </c>
      <c r="D35" s="50">
        <f t="shared" si="7"/>
        <v>20591.86773</v>
      </c>
      <c r="E35" s="50">
        <f t="shared" si="7"/>
        <v>26074.13236</v>
      </c>
      <c r="F35" s="50">
        <f t="shared" si="7"/>
        <v>32111.88296</v>
      </c>
      <c r="G35" s="50">
        <f t="shared" si="7"/>
        <v>38755.51312</v>
      </c>
      <c r="H35" s="2"/>
      <c r="I35" s="6"/>
      <c r="J35" s="6"/>
      <c r="K35" s="6"/>
      <c r="L35" s="6"/>
      <c r="M35" s="6"/>
      <c r="N35" s="2"/>
      <c r="O35" s="6"/>
      <c r="P35" s="6"/>
      <c r="Q35" s="6"/>
      <c r="R35" s="6"/>
      <c r="S35" s="6"/>
    </row>
    <row r="36" ht="15.0" hidden="1" customHeight="1">
      <c r="A36" s="51" t="str">
        <f>"כמה נמשוך כולל הקרן , מהפרישה ועד גיל "&amp;$E$4&amp;""</f>
        <v>כמה נמשוך כולל הקרן , מהפרישה ועד גיל 62</v>
      </c>
      <c r="B36" s="52">
        <f>-PMT(B$21,'תכנון פרישה (מינימום תשואה)'!גיל_הפנסיה-'תכנון פרישה (מינימום תשואה)'!הגיל_שלנו_2023-'תכנון פרישה (מינימום תשואה)'!שנות_עבודה_שנותרו,B34)/12</f>
        <v>21868.94809</v>
      </c>
      <c r="C36" s="52">
        <f>-PMT(C$21,'תכנון פרישה (מינימום תשואה)'!גיל_הפנסיה-'תכנון פרישה (מינימום תשואה)'!הגיל_שלנו_2023-'תכנון פרישה (מינימום תשואה)'!שנות_עבודה_שנותרו,C34)/12</f>
        <v>25609.15965</v>
      </c>
      <c r="D36" s="52">
        <f>-PMT(D$21,'תכנון פרישה (מינימום תשואה)'!גיל_הפנסיה-'תכנון פרישה (מינימום תשואה)'!הגיל_שלנו_2023-'תכנון פרישה (מינימום תשואה)'!שנות_עבודה_שנותרו,D34)/12</f>
        <v>29846.22406</v>
      </c>
      <c r="E36" s="52">
        <f>-PMT(E$21,'תכנון פרישה (מינימום תשואה)'!גיל_הפנסיה-'תכנון פרישה (מינימום תשואה)'!הגיל_שלנו_2023-'תכנון פרישה (מינימום תשואה)'!שנות_עבודה_שנותרו,E34)/12</f>
        <v>34626.01537</v>
      </c>
      <c r="F36" s="52">
        <f>-PMT(F$21,'תכנון פרישה (מינימום תשואה)'!גיל_הפנסיה-'תכנון פרישה (מינימום תשואה)'!הגיל_שלנו_2023-'תכנון פרישה (מינימום תשואה)'!שנות_עבודה_שנותרו,F34)/12</f>
        <v>39997.19471</v>
      </c>
      <c r="G36" s="52">
        <f>-PMT(G$21,'תכנון פרישה (מינימום תשואה)'!גיל_הפנסיה-'תכנון פרישה (מינימום תשואה)'!הגיל_שלנו_2023-'תכנון פרישה (מינימום תשואה)'!שנות_עבודה_שנותרו,G34)/12</f>
        <v>46011.49547</v>
      </c>
      <c r="H36" s="2"/>
      <c r="I36" s="6"/>
      <c r="J36" s="6"/>
      <c r="K36" s="6"/>
      <c r="L36" s="6"/>
      <c r="M36" s="6"/>
      <c r="N36" s="2"/>
      <c r="O36" s="6"/>
      <c r="P36" s="6"/>
      <c r="Q36" s="6"/>
      <c r="R36" s="6"/>
      <c r="S36" s="6"/>
    </row>
    <row r="37" hidden="1">
      <c r="A37" s="47">
        <v>0.35</v>
      </c>
      <c r="B37" s="48">
        <f>-FV(B$21,'תכנון פרישה (מינימום תשואה)'!שנות_עבודה_שנותרו,$D$15*12*$A37)+('תכנון פרישה (מינימום תשואה)'!חסכון_נוכחי_2023*(1+B$21)^'תכנון פרישה (מינימום תשואה)'!שנות_עבודה_שנותרו)</f>
        <v>5168925.486</v>
      </c>
      <c r="C37" s="48">
        <f>-FV(C$21,'תכנון פרישה (מינימום תשואה)'!שנות_עבודה_שנותרו,$D$15*12*$A37)+('תכנון פרישה (מינימום תשואה)'!חסכון_נוכחי_2023*(1+C$21)^'תכנון פרישה (מינימום תשואה)'!שנות_עבודה_שנותרו)</f>
        <v>5448506.487</v>
      </c>
      <c r="D37" s="48">
        <f>-FV(D$21,'תכנון פרישה (מינימום תשואה)'!שנות_עבודה_שנותרו,$D$15*12*$A37)+('תכנון פרישה (מינימום תשואה)'!חסכון_נוכחי_2023*(1+D$21)^'תכנון פרישה (מינימום תשואה)'!שנות_עבודה_שנותרו)</f>
        <v>5745769.006</v>
      </c>
      <c r="E37" s="48">
        <f>-FV(E$21,'תכנון פרישה (מינימום תשואה)'!שנות_עבודה_שנותרו,$D$15*12*$A37)+('תכנון פרישה (מינימום תשואה)'!חסכון_נוכחי_2023*(1+E$21)^'תכנון פרישה (מינימום תשואה)'!שנות_עבודה_שנותרו)</f>
        <v>6061817.4</v>
      </c>
      <c r="F37" s="48">
        <f>-FV(F$21,'תכנון פרישה (מינימום תשואה)'!שנות_עבודה_שנותרו,$D$15*12*$A37)+('תכנון פרישה (מינימום תשואה)'!חסכון_נוכחי_2023*(1+F$21)^'תכנון פרישה (מינימום תשואה)'!שנות_עבודה_שנותרו)</f>
        <v>6397819.986</v>
      </c>
      <c r="G37" s="48">
        <f>-FV(G$21,'תכנון פרישה (מינימום תשואה)'!שנות_עבודה_שנותרו,$D$15*12*$A37)+('תכנון פרישה (מינימום תשואה)'!חסכון_נוכחי_2023*(1+G$21)^'תכנון פרישה (מינימום תשואה)'!שנות_עבודה_שנותרו)</f>
        <v>6755012.342</v>
      </c>
      <c r="H37" s="2"/>
      <c r="I37" s="6"/>
      <c r="J37" s="6"/>
      <c r="K37" s="6"/>
      <c r="L37" s="6"/>
      <c r="M37" s="6"/>
      <c r="N37" s="2"/>
      <c r="O37" s="6"/>
      <c r="P37" s="6"/>
      <c r="Q37" s="6"/>
      <c r="R37" s="6"/>
      <c r="S37" s="6"/>
    </row>
    <row r="38" ht="15.0" hidden="1" customHeight="1">
      <c r="A38" s="49" t="s">
        <v>40</v>
      </c>
      <c r="B38" s="50">
        <f t="shared" ref="B38:G38" si="8">B37*B$21/12</f>
        <v>12922.31372</v>
      </c>
      <c r="C38" s="50">
        <f t="shared" si="8"/>
        <v>18161.68829</v>
      </c>
      <c r="D38" s="50">
        <f t="shared" si="8"/>
        <v>23940.70419</v>
      </c>
      <c r="E38" s="50">
        <f t="shared" si="8"/>
        <v>30309.087</v>
      </c>
      <c r="F38" s="50">
        <f t="shared" si="8"/>
        <v>37320.61659</v>
      </c>
      <c r="G38" s="50">
        <f t="shared" si="8"/>
        <v>45033.41561</v>
      </c>
      <c r="H38" s="2"/>
      <c r="I38" s="6"/>
      <c r="J38" s="6"/>
      <c r="K38" s="6"/>
      <c r="L38" s="6"/>
      <c r="M38" s="6"/>
      <c r="N38" s="2"/>
      <c r="O38" s="6"/>
      <c r="P38" s="6"/>
      <c r="Q38" s="6"/>
      <c r="R38" s="6"/>
      <c r="S38" s="6"/>
    </row>
    <row r="39" ht="15.0" hidden="1" customHeight="1">
      <c r="A39" s="51" t="str">
        <f>"כמה נמשוך כולל הקרן , מהפרישה ועד גיל "&amp;$E$4&amp;""</f>
        <v>כמה נמשוך כולל הקרן , מהפרישה ועד גיל 62</v>
      </c>
      <c r="B39" s="52">
        <f>-PMT(B$21,'תכנון פרישה (מינימום תשואה)'!גיל_הפנסיה-'תכנון פרישה (מינימום תשואה)'!הגיל_שלנו_2023-'תכנון פרישה (מינימום תשואה)'!שנות_עבודה_שנותרו,B37)/12</f>
        <v>25434.30777</v>
      </c>
      <c r="C39" s="52">
        <f>-PMT(C$21,'תכנון פרישה (מינימום תשואה)'!גיל_הפנסיה-'תכנון פרישה (מינימום תשואה)'!הגיל_שלנו_2023-'תכנון פרישה (מינימום תשואה)'!שנות_עבודה_שנותרו,C37)/12</f>
        <v>29779.18967</v>
      </c>
      <c r="D39" s="52">
        <f>-PMT(D$21,'תכנון פרישה (מינימום תשואה)'!גיל_הפנסיה-'תכנון פרישה (מינימום תשואה)'!הגיל_שלנו_2023-'תכנון פרישה (מינימום תשואה)'!שנות_עבודה_שנותרו,D37)/12</f>
        <v>34700.08795</v>
      </c>
      <c r="E39" s="52">
        <f>-PMT(E$21,'תכנון פרישה (מינימום תשואה)'!גיל_הפנסיה-'תכנון פרישה (מינימום תשואה)'!הגיל_שלנו_2023-'תכנון פרישה (מינימום תשואה)'!שנות_עבודה_שנותרו,E37)/12</f>
        <v>40249.9649</v>
      </c>
      <c r="F39" s="52">
        <f>-PMT(F$21,'תכנון פרישה (מינימום תשואה)'!גיל_הפנסיה-'תכנון פרישה (מינימום תשואה)'!הגיל_שלנו_2023-'תכנון פרישה (מינימום תשואה)'!שנות_עבודה_שנותרו,F37)/12</f>
        <v>46484.97162</v>
      </c>
      <c r="G39" s="52">
        <f>-PMT(G$21,'תכנון פרישה (מינימום תשואה)'!גיל_הפנסיה-'תכנון פרישה (מינימום תשואה)'!הגיל_שלנו_2023-'תכנון פרישה (מינימום תשואה)'!שנות_עבודה_שנותרו,G37)/12</f>
        <v>53464.77524</v>
      </c>
      <c r="H39" s="2"/>
      <c r="I39" s="6"/>
      <c r="J39" s="6"/>
      <c r="K39" s="6"/>
      <c r="L39" s="6"/>
      <c r="M39" s="6"/>
      <c r="N39" s="2"/>
      <c r="O39" s="6"/>
      <c r="P39" s="6"/>
      <c r="Q39" s="6"/>
      <c r="R39" s="6"/>
      <c r="S39" s="6"/>
    </row>
    <row r="40" hidden="1">
      <c r="A40" s="47">
        <v>0.4</v>
      </c>
      <c r="B40" s="48">
        <f>-FV(B$21,'תכנון פרישה (מינימום תשואה)'!שנות_עבודה_שנותרו,$D$15*12*$A40)+('תכנון פרישה (מינימום תשואה)'!חסכון_נוכחי_2023*(1+B$21)^'תכנון פרישה (מינימום תשואה)'!שנות_עבודה_שנותרו)</f>
        <v>5893501.074</v>
      </c>
      <c r="C40" s="48">
        <f>-FV(C$21,'תכנון פרישה (מינימום תשואה)'!שנות_עבודה_שנותרו,$D$15*12*$A40)+('תכנון פרישה (מינימום תשואה)'!חסכון_נוכחי_2023*(1+C$21)^'תכנון פרישה (מינימום תשואה)'!שנות_עבודה_שנותרו)</f>
        <v>6211470.016</v>
      </c>
      <c r="D40" s="48">
        <f>-FV(D$21,'תכנון פרישה (מינימום תשואה)'!שנות_עבודה_שנותרו,$D$15*12*$A40)+('תכנון פרישה (מינימום תשואה)'!חסכון_נוכחי_2023*(1+D$21)^'תכנון פרישה (מינימום תשואה)'!שנות_עבודה_שנותרו)</f>
        <v>6549489.756</v>
      </c>
      <c r="E40" s="48">
        <f>-FV(E$21,'תכנון פרישה (מינימום תשואה)'!שנות_עבודה_שנותרו,$D$15*12*$A40)+('תכנון פרישה (מינימום תשואה)'!חסכון_נוכחי_2023*(1+E$21)^'תכנון פרישה (מינימום תשואה)'!שנות_עבודה_שנותרו)</f>
        <v>6908808.329</v>
      </c>
      <c r="F40" s="48">
        <f>-FV(F$21,'תכנון פרישה (מינימום תשואה)'!שנות_עבודה_שנותרו,$D$15*12*$A40)+('תכנון פרישה (מינימום תשואה)'!חסכון_נוכחי_2023*(1+F$21)^'תכנון פרישה (מינימום תשואה)'!שנות_עבודה_שנותרו)</f>
        <v>7290745.75</v>
      </c>
      <c r="G40" s="48">
        <f>-FV(G$21,'תכנון פרישה (מינימום תשואה)'!שנות_עבודה_שנותרו,$D$15*12*$A40)+('תכנון פרישה (מינימום תשואה)'!חסכון_נוכחי_2023*(1+G$21)^'תכנון פרישה (מינימום תשואה)'!שנות_עבודה_שנותרו)</f>
        <v>7696697.715</v>
      </c>
      <c r="H40" s="2"/>
      <c r="I40" s="6"/>
      <c r="J40" s="6"/>
      <c r="K40" s="6"/>
      <c r="L40" s="6"/>
      <c r="M40" s="6"/>
      <c r="N40" s="2"/>
      <c r="O40" s="6"/>
      <c r="P40" s="6"/>
      <c r="Q40" s="6"/>
      <c r="R40" s="6"/>
      <c r="S40" s="6"/>
    </row>
    <row r="41" ht="14.25" hidden="1" customHeight="1">
      <c r="A41" s="49" t="s">
        <v>40</v>
      </c>
      <c r="B41" s="50">
        <f t="shared" ref="B41:G41" si="9">B40*B$21/12</f>
        <v>14733.75269</v>
      </c>
      <c r="C41" s="50">
        <f t="shared" si="9"/>
        <v>20704.90005</v>
      </c>
      <c r="D41" s="50">
        <f t="shared" si="9"/>
        <v>27289.54065</v>
      </c>
      <c r="E41" s="50">
        <f t="shared" si="9"/>
        <v>34544.04164</v>
      </c>
      <c r="F41" s="50">
        <f t="shared" si="9"/>
        <v>42529.35021</v>
      </c>
      <c r="G41" s="50">
        <f t="shared" si="9"/>
        <v>51311.3181</v>
      </c>
      <c r="H41" s="2"/>
      <c r="I41" s="6"/>
      <c r="J41" s="6"/>
      <c r="K41" s="6"/>
      <c r="L41" s="6"/>
      <c r="M41" s="6"/>
      <c r="N41" s="2"/>
      <c r="O41" s="6"/>
      <c r="P41" s="6"/>
      <c r="Q41" s="6"/>
      <c r="R41" s="6"/>
      <c r="S41" s="6"/>
    </row>
    <row r="42" ht="15.0" hidden="1" customHeight="1">
      <c r="A42" s="51" t="str">
        <f>"כמה נמשוך כולל הקרן , מהפרישה ועד גיל "&amp;$E$4&amp;""</f>
        <v>כמה נמשוך כולל הקרן , מהפרישה ועד גיל 62</v>
      </c>
      <c r="B42" s="52">
        <f>-PMT(B$21,'תכנון פרישה (מינימום תשואה)'!גיל_הפנסיה-'תכנון פרישה (מינימום תשואה)'!הגיל_שלנו_2023-'תכנון פרישה (מינימום תשואה)'!שנות_עבודה_שנותרו,B40)/12</f>
        <v>28999.66744</v>
      </c>
      <c r="C42" s="52">
        <f>-PMT(C$21,'תכנון פרישה (מינימום תשואה)'!גיל_הפנסיה-'תכנון פרישה (מינימום תשואה)'!הגיל_שלנו_2023-'תכנון פרישה (מינימום תשואה)'!שנות_עבודה_שנותרו,C40)/12</f>
        <v>33949.2197</v>
      </c>
      <c r="D42" s="52">
        <f>-PMT(D$21,'תכנון פרישה (מינימום תשואה)'!גיל_הפנסיה-'תכנון פרישה (מינימום תשואה)'!הגיל_שלנו_2023-'תכנון פרישה (מינימום תשואה)'!שנות_עבודה_שנותרו,D40)/12</f>
        <v>39553.95184</v>
      </c>
      <c r="E42" s="52">
        <f>-PMT(E$21,'תכנון פרישה (מינימום תשואה)'!גיל_הפנסיה-'תכנון פרישה (מינימום תשואה)'!הגיל_שלנו_2023-'תכנון פרישה (מינימום תשואה)'!שנות_עבודה_שנותרו,E40)/12</f>
        <v>45873.91444</v>
      </c>
      <c r="F42" s="52">
        <f>-PMT(F$21,'תכנון פרישה (מינימום תשואה)'!גיל_הפנסיה-'תכנון פרישה (מינימום תשואה)'!הגיל_שלנו_2023-'תכנון פרישה (מינימום תשואה)'!שנות_עבודה_שנותרו,F40)/12</f>
        <v>52972.74853</v>
      </c>
      <c r="G42" s="52">
        <f>-PMT(G$21,'תכנון פרישה (מינימום תשואה)'!גיל_הפנסיה-'תכנון פרישה (מינימום תשואה)'!הגיל_שלנו_2023-'תכנון פרישה (מינימום תשואה)'!שנות_עבודה_שנותרו,G40)/12</f>
        <v>60918.055</v>
      </c>
      <c r="H42" s="2"/>
      <c r="I42" s="6"/>
      <c r="J42" s="6"/>
      <c r="K42" s="6"/>
      <c r="L42" s="6"/>
      <c r="M42" s="6"/>
      <c r="N42" s="2"/>
      <c r="O42" s="6"/>
      <c r="P42" s="6"/>
      <c r="Q42" s="6"/>
      <c r="R42" s="6"/>
      <c r="S42" s="6"/>
    </row>
    <row r="43" hidden="1">
      <c r="A43" s="53">
        <v>0.45</v>
      </c>
      <c r="B43" s="48">
        <f>-FV(B$21,'תכנון פרישה (מינימום תשואה)'!שנות_עבודה_שנותרו,$D$15*12*$A43)+('תכנון פרישה (מינימום תשואה)'!חסכון_נוכחי_2023*(1+B$21)^'תכנון פרישה (מינימום תשואה)'!שנות_עבודה_שנותרו)</f>
        <v>6618076.662</v>
      </c>
      <c r="C43" s="48">
        <f>-FV(C$21,'תכנון פרישה (מינימום תשואה)'!שנות_עבודה_שנותרו,$D$15*12*$A43)+('תכנון פרישה (מינימום תשואה)'!חסכון_נוכחי_2023*(1+C$21)^'תכנון פרישה (מינימום תשואה)'!שנות_עבודה_שנותרו)</f>
        <v>6974433.546</v>
      </c>
      <c r="D43" s="48">
        <f>-FV(D$21,'תכנון פרישה (מינימום תשואה)'!שנות_עבודה_שנותרו,$D$15*12*$A43)+('תכנון פרישה (מינימום תשואה)'!חסכון_נוכחי_2023*(1+D$21)^'תכנון פרישה (מינימום תשואה)'!שנות_עבודה_שנותרו)</f>
        <v>7353210.506</v>
      </c>
      <c r="E43" s="48">
        <f>-FV(E$21,'תכנון פרישה (מינימום תשואה)'!שנות_עבודה_שנותרו,$D$15*12*$A43)+('תכנון פרישה (מינימום תשואה)'!חסכון_נוכחי_2023*(1+E$21)^'תכנון פרישה (מינימום תשואה)'!שנות_עבודה_שנותרו)</f>
        <v>7755799.257</v>
      </c>
      <c r="F43" s="48">
        <f>-FV(F$21,'תכנון פרישה (מינימום תשואה)'!שנות_עבודה_שנותרו,$D$15*12*$A43)+('תכנון פרישה (מינימום תשואה)'!חסכון_נוכחי_2023*(1+F$21)^'תכנון פרישה (מינימום תשואה)'!שנות_עבודה_שנותרו)</f>
        <v>8183671.515</v>
      </c>
      <c r="G43" s="48">
        <f>-FV(G$21,'תכנון פרישה (מינימום תשואה)'!שנות_עבודה_שנותרו,$D$15*12*$A43)+('תכנון פרישה (מינימום תשואה)'!חסכון_נוכחי_2023*(1+G$21)^'תכנון פרישה (מינימום תשואה)'!שנות_עבודה_שנותרו)</f>
        <v>8638383.088</v>
      </c>
      <c r="H43" s="2"/>
      <c r="I43" s="6"/>
      <c r="J43" s="6"/>
      <c r="K43" s="6"/>
      <c r="L43" s="6"/>
      <c r="M43" s="6"/>
      <c r="N43" s="2"/>
      <c r="O43" s="6"/>
      <c r="P43" s="6"/>
      <c r="Q43" s="6"/>
      <c r="R43" s="6"/>
      <c r="S43" s="6"/>
    </row>
    <row r="44" hidden="1">
      <c r="A44" s="49" t="s">
        <v>40</v>
      </c>
      <c r="B44" s="50">
        <f t="shared" ref="B44:G44" si="10">B43*B$21/12</f>
        <v>16545.19165</v>
      </c>
      <c r="C44" s="50">
        <f t="shared" si="10"/>
        <v>23248.11182</v>
      </c>
      <c r="D44" s="50">
        <f t="shared" si="10"/>
        <v>30638.37711</v>
      </c>
      <c r="E44" s="50">
        <f t="shared" si="10"/>
        <v>38778.99629</v>
      </c>
      <c r="F44" s="50">
        <f t="shared" si="10"/>
        <v>47738.08384</v>
      </c>
      <c r="G44" s="50">
        <f t="shared" si="10"/>
        <v>57589.22059</v>
      </c>
      <c r="H44" s="2"/>
      <c r="I44" s="6"/>
      <c r="J44" s="6"/>
      <c r="K44" s="6"/>
      <c r="L44" s="6"/>
      <c r="M44" s="6"/>
      <c r="N44" s="2"/>
      <c r="O44" s="6"/>
      <c r="P44" s="6"/>
      <c r="Q44" s="6"/>
      <c r="R44" s="6"/>
      <c r="S44" s="6"/>
    </row>
    <row r="45" hidden="1">
      <c r="A45" s="51" t="str">
        <f>"כמה נמשוך כולל הקרן , מהפרישה ועד גיל "&amp;$E$4&amp;""</f>
        <v>כמה נמשוך כולל הקרן , מהפרישה ועד גיל 62</v>
      </c>
      <c r="B45" s="52">
        <f>-PMT(B$21,'תכנון פרישה (מינימום תשואה)'!גיל_הפנסיה-'תכנון פרישה (מינימום תשואה)'!הגיל_שלנו_2023-'תכנון פרישה (מינימום תשואה)'!שנות_עבודה_שנותרו,B43)/12</f>
        <v>32565.02712</v>
      </c>
      <c r="C45" s="52">
        <f>-PMT(C$21,'תכנון פרישה (מינימום תשואה)'!גיל_הפנסיה-'תכנון פרישה (מינימום תשואה)'!הגיל_שלנו_2023-'תכנון פרישה (מינימום תשואה)'!שנות_עבודה_שנותרו,C43)/12</f>
        <v>38119.24972</v>
      </c>
      <c r="D45" s="52">
        <f>-PMT(D$21,'תכנון פרישה (מינימום תשואה)'!גיל_הפנסיה-'תכנון פרישה (מינימום תשואה)'!הגיל_שלנו_2023-'תכנון פרישה (מינימום תשואה)'!שנות_עבודה_שנותרו,D43)/12</f>
        <v>44407.81573</v>
      </c>
      <c r="E45" s="52">
        <f>-PMT(E$21,'תכנון פרישה (מינימום תשואה)'!גיל_הפנסיה-'תכנון פרישה (מינימום תשואה)'!הגיל_שלנו_2023-'תכנון פרישה (מינימום תשואה)'!שנות_עבודה_שנותרו,E43)/12</f>
        <v>51497.86397</v>
      </c>
      <c r="F45" s="52">
        <f>-PMT(F$21,'תכנון פרישה (מינימום תשואה)'!גיל_הפנסיה-'תכנון פרישה (מינימום תשואה)'!הגיל_שלנו_2023-'תכנון פרישה (מינימום תשואה)'!שנות_עבודה_שנותרו,F43)/12</f>
        <v>59460.52545</v>
      </c>
      <c r="G45" s="52">
        <f>-PMT(G$21,'תכנון פרישה (מינימום תשואה)'!גיל_הפנסיה-'תכנון פרישה (מינימום תשואה)'!הגיל_שלנו_2023-'תכנון פרישה (מינימום תשואה)'!שנות_עבודה_שנותרו,G43)/12</f>
        <v>68371.33477</v>
      </c>
      <c r="H45" s="2"/>
      <c r="I45" s="6"/>
      <c r="J45" s="6"/>
      <c r="K45" s="6"/>
      <c r="L45" s="6"/>
      <c r="M45" s="6"/>
      <c r="N45" s="2"/>
      <c r="O45" s="6"/>
      <c r="P45" s="6"/>
      <c r="Q45" s="6"/>
      <c r="R45" s="6"/>
      <c r="S45" s="6"/>
    </row>
    <row r="46" hidden="1">
      <c r="A46" s="53">
        <v>0.5</v>
      </c>
      <c r="B46" s="48">
        <f>-FV(B$21,'תכנון פרישה (מינימום תשואה)'!שנות_עבודה_שנותרו,$D$15*12*$A46)+('תכנון פרישה (מינימום תשואה)'!חסכון_נוכחי_2023*(1+B$21)^'תכנון פרישה (מינימום תשואה)'!שנות_עבודה_שנותרו)</f>
        <v>7342652.25</v>
      </c>
      <c r="C46" s="48">
        <f>-FV(C$21,'תכנון פרישה (מינימום תשואה)'!שנות_עבודה_שנותרו,$D$15*12*$A46)+('תכנון פרישה (מינימום תשואה)'!חסכון_נוכחי_2023*(1+C$21)^'תכנון פרישה (מינימום תשואה)'!שנות_עבודה_שנותרו)</f>
        <v>7737397.075</v>
      </c>
      <c r="D46" s="48">
        <f>-FV(D$21,'תכנון פרישה (מינימום תשואה)'!שנות_עבודה_שנותרו,$D$15*12*$A46)+('תכנון פרישה (מינימום תשואה)'!חסכון_נוכחי_2023*(1+D$21)^'תכנון פרישה (מינימום תשואה)'!שנות_עבודה_שנותרו)</f>
        <v>8156931.256</v>
      </c>
      <c r="E46" s="48">
        <f>-FV(E$21,'תכנון פרישה (מינימום תשואה)'!שנות_עבודה_שנותרו,$D$15*12*$A46)+('תכנון פרישה (מינימום תשואה)'!חסכון_נוכחי_2023*(1+E$21)^'תכנון פרישה (מינימום תשואה)'!שנות_עבודה_שנותרו)</f>
        <v>8602790.186</v>
      </c>
      <c r="F46" s="48">
        <f>-FV(F$21,'תכנון פרישה (מינימום תשואה)'!שנות_עבודה_שנותרו,$D$15*12*$A46)+('תכנון פרישה (מינימום תשואה)'!חסכון_נוכחי_2023*(1+F$21)^'תכנון פרישה (מינימום תשואה)'!שנות_עבודה_שנותרו)</f>
        <v>9076597.279</v>
      </c>
      <c r="G46" s="48">
        <f>-FV(G$21,'תכנון פרישה (מינימום תשואה)'!שנות_עבודה_שנותרו,$D$15*12*$A46)+('תכנון פרישה (מינימום תשואה)'!חסכון_נוכחי_2023*(1+G$21)^'תכנון פרישה (מינימום תשואה)'!שנות_עבודה_שנותרו)</f>
        <v>9580068.461</v>
      </c>
      <c r="H46" s="2"/>
      <c r="I46" s="6"/>
      <c r="J46" s="6"/>
      <c r="K46" s="6"/>
      <c r="L46" s="6"/>
      <c r="M46" s="6"/>
      <c r="N46" s="2"/>
      <c r="O46" s="6"/>
      <c r="P46" s="6"/>
      <c r="Q46" s="6"/>
      <c r="R46" s="6"/>
      <c r="S46" s="6"/>
    </row>
    <row r="47" hidden="1">
      <c r="A47" s="49" t="s">
        <v>40</v>
      </c>
      <c r="B47" s="50">
        <f t="shared" ref="B47:G47" si="11">B46*B$21/12</f>
        <v>18356.63062</v>
      </c>
      <c r="C47" s="50">
        <f t="shared" si="11"/>
        <v>25791.32358</v>
      </c>
      <c r="D47" s="50">
        <f t="shared" si="11"/>
        <v>33987.21357</v>
      </c>
      <c r="E47" s="50">
        <f t="shared" si="11"/>
        <v>43013.95093</v>
      </c>
      <c r="F47" s="50">
        <f t="shared" si="11"/>
        <v>52946.81746</v>
      </c>
      <c r="G47" s="50">
        <f t="shared" si="11"/>
        <v>63867.12308</v>
      </c>
      <c r="H47" s="2"/>
      <c r="I47" s="6"/>
      <c r="J47" s="6"/>
      <c r="K47" s="6"/>
      <c r="L47" s="6"/>
      <c r="M47" s="6"/>
      <c r="N47" s="2"/>
      <c r="O47" s="6"/>
      <c r="P47" s="6"/>
      <c r="Q47" s="6"/>
      <c r="R47" s="6"/>
      <c r="S47" s="6"/>
    </row>
    <row r="48" hidden="1">
      <c r="A48" s="51" t="str">
        <f>"כמה נמשוך כולל הקרן , מהפרישה ועד גיל "&amp;$E$4&amp;""</f>
        <v>כמה נמשוך כולל הקרן , מהפרישה ועד גיל 62</v>
      </c>
      <c r="B48" s="52">
        <f>-PMT(B$21,'תכנון פרישה (מינימום תשואה)'!גיל_הפנסיה-'תכנון פרישה (מינימום תשואה)'!הגיל_שלנו_2023-'תכנון פרישה (מינימום תשואה)'!שנות_עבודה_שנותרו,B46)/12</f>
        <v>36130.3868</v>
      </c>
      <c r="C48" s="52">
        <f>-PMT(C$21,'תכנון פרישה (מינימום תשואה)'!גיל_הפנסיה-'תכנון פרישה (מינימום תשואה)'!הגיל_שלנו_2023-'תכנון פרישה (מינימום תשואה)'!שנות_עבודה_שנותרו,C46)/12</f>
        <v>42289.27975</v>
      </c>
      <c r="D48" s="52">
        <f>-PMT(D$21,'תכנון פרישה (מינימום תשואה)'!גיל_הפנסיה-'תכנון פרישה (מינימום תשואה)'!הגיל_שלנו_2023-'תכנון פרישה (מינימום תשואה)'!שנות_עבודה_שנותרו,D46)/12</f>
        <v>49261.67963</v>
      </c>
      <c r="E48" s="52">
        <f>-PMT(E$21,'תכנון פרישה (מינימום תשואה)'!גיל_הפנסיה-'תכנון פרישה (מינימום תשואה)'!הגיל_שלנו_2023-'תכנון פרישה (מינימום תשואה)'!שנות_עבודה_שנותרו,E46)/12</f>
        <v>57121.81351</v>
      </c>
      <c r="F48" s="54">
        <f>-PMT(F$21,'תכנון פרישה (מינימום תשואה)'!גיל_הפנסיה-'תכנון פרישה (מינימום תשואה)'!הגיל_שלנו_2023-'תכנון פרישה (מינימום תשואה)'!שנות_עבודה_שנותרו,F46)/12</f>
        <v>65948.30236</v>
      </c>
      <c r="G48" s="52">
        <f>-PMT(G$21,'תכנון פרישה (מינימום תשואה)'!גיל_הפנסיה-'תכנון פרישה (מינימום תשואה)'!הגיל_שלנו_2023-'תכנון פרישה (מינימום תשואה)'!שנות_עבודה_שנותרו,G46)/12</f>
        <v>75824.61454</v>
      </c>
      <c r="H48" s="2"/>
      <c r="I48" s="6"/>
      <c r="J48" s="6"/>
      <c r="K48" s="6"/>
      <c r="L48" s="6"/>
      <c r="M48" s="6"/>
      <c r="N48" s="2"/>
      <c r="O48" s="6"/>
      <c r="P48" s="6"/>
      <c r="Q48" s="6"/>
      <c r="R48" s="6"/>
      <c r="S48" s="6"/>
    </row>
    <row r="49">
      <c r="A49" s="6"/>
      <c r="B49" s="6"/>
      <c r="C49" s="6"/>
      <c r="D49" s="6"/>
      <c r="E49" s="6"/>
      <c r="F49" s="19"/>
      <c r="G49" s="6"/>
      <c r="H49" s="2"/>
      <c r="I49" s="6"/>
      <c r="J49" s="6"/>
      <c r="K49" s="6"/>
      <c r="L49" s="6"/>
      <c r="M49" s="6"/>
      <c r="N49" s="2"/>
      <c r="O49" s="6"/>
      <c r="P49" s="6"/>
      <c r="Q49" s="6"/>
      <c r="R49" s="6"/>
      <c r="S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</row>
  </sheetData>
  <mergeCells count="13">
    <mergeCell ref="D4:D5"/>
    <mergeCell ref="E4:E5"/>
    <mergeCell ref="D14:F14"/>
    <mergeCell ref="D15:F15"/>
    <mergeCell ref="A20:G20"/>
    <mergeCell ref="K23:K25"/>
    <mergeCell ref="A1:G1"/>
    <mergeCell ref="I1:M1"/>
    <mergeCell ref="O1:R1"/>
    <mergeCell ref="A2:A3"/>
    <mergeCell ref="B2:B3"/>
    <mergeCell ref="D2:D3"/>
    <mergeCell ref="E2:E3"/>
  </mergeCells>
  <conditionalFormatting sqref="A22:A24 B22:G48">
    <cfRule type="expression" dxfId="0" priority="1">
      <formula>"F8 &lt; A20"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5" t="s">
        <v>22</v>
      </c>
      <c r="B2" s="56" t="s">
        <v>50</v>
      </c>
      <c r="C2" s="56" t="s">
        <v>51</v>
      </c>
    </row>
    <row r="3">
      <c r="A3" s="57">
        <v>1.0</v>
      </c>
      <c r="B3" s="58">
        <f>fv('תכנון פרישה'!$B$4,$A3,-'תכנון פרישה'!$K$5*12)+'תכנון פרישה'!$B$5*(1+'תכנון פרישה'!$B$4)^$A3</f>
        <v>111204</v>
      </c>
      <c r="C3" s="58">
        <f>fv('תכנון פרישה'!$B$4,$A3,-'תכנון פרישה'!$K$6*12)+'תכנון פרישה'!$B$6*(1+'תכנון פרישה'!$B$4)^$A3</f>
        <v>159754.8457</v>
      </c>
    </row>
    <row r="4">
      <c r="A4" s="59">
        <v>2.0</v>
      </c>
      <c r="B4" s="58">
        <f>fv('תכנון פרישה'!$B$4,$A4,-'תכנון פרישה'!$K$5*12)+'תכנון פרישה'!$B$5*(1+'תכנון פרישה'!$B$4)^$A4</f>
        <v>154468.2</v>
      </c>
      <c r="C4" s="58">
        <f>fv('תכנון פרישה'!$B$4,$A4,-'תכנון פרישה'!$K$6*12)+'תכנון פרישה'!$B$6*(1+'תכנון פרישה'!$B$4)^$A4</f>
        <v>222497.4337</v>
      </c>
    </row>
    <row r="5">
      <c r="A5" s="57">
        <v>3.0</v>
      </c>
      <c r="B5" s="58">
        <f>fv('תכנון פרישה'!$B$4,$A5,-'תכנון פרישה'!$K$5*12)+'תכנון פרישה'!$B$5*(1+'תכנון פרישה'!$B$4)^$A5</f>
        <v>199895.61</v>
      </c>
      <c r="C5" s="58">
        <f>fv('תכנון פרישה'!$B$4,$A5,-'תכנון פרישה'!$K$6*12)+'תכנון פרישה'!$B$6*(1+'תכנון פרישה'!$B$4)^$A5</f>
        <v>288377.1511</v>
      </c>
    </row>
    <row r="6">
      <c r="A6" s="59">
        <v>4.0</v>
      </c>
      <c r="B6" s="58">
        <f>fv('תכנון פרישה'!$B$4,$A6,-'תכנון פרישה'!$K$5*12)+'תכנון פרישה'!$B$5*(1+'תכנון פרישה'!$B$4)^$A6</f>
        <v>247594.3905</v>
      </c>
      <c r="C6" s="58">
        <f>fv('תכנון פרישה'!$B$4,$A6,-'תכנון פרישה'!$K$6*12)+'תכנון פרישה'!$B$6*(1+'תכנון פרישה'!$B$4)^$A6</f>
        <v>357550.8543</v>
      </c>
    </row>
    <row r="7">
      <c r="A7" s="57">
        <v>5.0</v>
      </c>
      <c r="B7" s="58">
        <f>fv('תכנון פרישה'!$B$4,$A7,-'תכנון פרישה'!$K$5*12)+'תכנון פרישה'!$B$5*(1+'תכנון פרישה'!$B$4)^$A7</f>
        <v>297678.11</v>
      </c>
      <c r="C7" s="58">
        <f>fv('תכנון פרישה'!$B$4,$A7,-'תכנון פרישה'!$K$6*12)+'תכנון פרישה'!$B$6*(1+'תכנון פרישה'!$B$4)^$A7</f>
        <v>430183.2428</v>
      </c>
    </row>
    <row r="8">
      <c r="A8" s="59">
        <v>6.0</v>
      </c>
      <c r="B8" s="58">
        <f>fv('תכנון פרישה'!$B$4,$A8,-'תכנון פרישה'!$K$5*12)+'תכנון פרישה'!$B$5*(1+'תכנון פרישה'!$B$4)^$A8</f>
        <v>350266.0155</v>
      </c>
      <c r="C8" s="58">
        <f>fv('תכנון פרישה'!$B$4,$A8,-'תכנון פרישה'!$K$6*12)+'תכנון פרישה'!$B$6*(1+'תכנון פרישה'!$B$4)^$A8</f>
        <v>506447.2506</v>
      </c>
    </row>
    <row r="9">
      <c r="A9" s="57">
        <v>7.0</v>
      </c>
      <c r="B9" s="58">
        <f>fv('תכנון פרישה'!$B$4,$A9,-'תכנון פרישה'!$K$5*12)+'תכנון פרישה'!$B$5*(1+'תכנון פרישה'!$B$4)^$A9</f>
        <v>405483.3163</v>
      </c>
      <c r="C9" s="58">
        <f>fv('תכנון פרישה'!$B$4,$A9,-'תכנון פרישה'!$K$6*12)+'תכנון פרישה'!$B$6*(1+'תכנון פרישה'!$B$4)^$A9</f>
        <v>586524.4588</v>
      </c>
    </row>
    <row r="10">
      <c r="A10" s="59">
        <v>8.0</v>
      </c>
      <c r="B10" s="58">
        <f>fv('תכנון פרישה'!$B$4,$A10,-'תכנון פרישה'!$K$5*12)+'תכנון פרישה'!$B$5*(1+'תכנון פרישה'!$B$4)^$A10</f>
        <v>463461.4821</v>
      </c>
      <c r="C10" s="58">
        <f>fv('תכנון פרישה'!$B$4,$A10,-'תכנון פרישה'!$K$6*12)+'תכנון פרישה'!$B$6*(1+'תכנון פרישה'!$B$4)^$A10</f>
        <v>670605.5275</v>
      </c>
    </row>
    <row r="11">
      <c r="A11" s="57">
        <v>9.0</v>
      </c>
      <c r="B11" s="58">
        <f>fv('תכנון פרישה'!$B$4,$A11,-'תכנון פרישה'!$K$5*12)+'תכנון פרישה'!$B$5*(1+'תכנון פרישה'!$B$4)^$A11</f>
        <v>524338.5562</v>
      </c>
      <c r="C11" s="58">
        <f>fv('תכנון פרישה'!$B$4,$A11,-'תכנון פרישה'!$K$6*12)+'תכנון פרישה'!$B$6*(1+'תכנון פרישה'!$B$4)^$A11</f>
        <v>758890.6496</v>
      </c>
    </row>
    <row r="12">
      <c r="A12" s="59">
        <v>10.0</v>
      </c>
      <c r="B12" s="58">
        <f>fv('תכנון פרישה'!$B$4,$A12,-'תכנון פרישה'!$K$5*12)+'תכנון פרישה'!$B$5*(1+'תכנון פרישה'!$B$4)^$A12</f>
        <v>588259.484</v>
      </c>
      <c r="C12" s="58">
        <f>fv('תכנון פרישה'!$B$4,$A12,-'תכנון פרישה'!$K$6*12)+'תכנון פרישה'!$B$6*(1+'תכנון פרישה'!$B$4)^$A12</f>
        <v>851590.0277</v>
      </c>
    </row>
    <row r="13">
      <c r="A13" s="57">
        <v>11.0</v>
      </c>
      <c r="B13" s="58">
        <f>fv('תכנון פרישה'!$B$4,$A13,-'תכנון פרישה'!$K$5*12)+'תכנון פרישה'!$B$5*(1+'תכנון פרישה'!$B$4)^$A13</f>
        <v>655376.4582</v>
      </c>
      <c r="C13" s="58">
        <f>fv('תכנון פרישה'!$B$4,$A13,-'תכנון פרישה'!$K$6*12)+'תכנון פרישה'!$B$6*(1+'תכנון פרישה'!$B$4)^$A13</f>
        <v>948924.3748</v>
      </c>
    </row>
    <row r="14">
      <c r="A14" s="59">
        <v>12.0</v>
      </c>
      <c r="B14" s="58">
        <f>fv('תכנון פרישה'!$B$4,$A14,-'תכנון פרישה'!$K$5*12)+'תכנון פרישה'!$B$5*(1+'תכנון פרישה'!$B$4)^$A14</f>
        <v>725849.2811</v>
      </c>
      <c r="C14" s="58">
        <f>fv('תכנון פרישה'!$B$4,$A14,-'תכנון פרישה'!$K$6*12)+'תכנון פרישה'!$B$6*(1+'תכנון פרישה'!$B$4)^$A14</f>
        <v>1051125.439</v>
      </c>
    </row>
    <row r="15">
      <c r="A15" s="57">
        <v>13.0</v>
      </c>
      <c r="B15" s="58">
        <f>fv('תכנון פרישה'!$B$4,$A15,-'תכנון פרישה'!$K$5*12)+'תכנון פרישה'!$B$5*(1+'תכנון פרישה'!$B$4)^$A15</f>
        <v>799845.7452</v>
      </c>
      <c r="C15" s="58">
        <f>fv('תכנון פרישה'!$B$4,$A15,-'תכנון פרישה'!$K$6*12)+'תכנון פרישה'!$B$6*(1+'תכנון פרישה'!$B$4)^$A15</f>
        <v>1158436.557</v>
      </c>
    </row>
    <row r="16">
      <c r="A16" s="59">
        <v>14.0</v>
      </c>
      <c r="B16" s="58">
        <f>fv('תכנון פרישה'!$B$4,$A16,-'תכנון פרישה'!$K$5*12)+'תכנון פרישה'!$B$5*(1+'תכנון פרישה'!$B$4)^$A16</f>
        <v>877542.0325</v>
      </c>
      <c r="C16" s="58">
        <f>fv('תכנון פרישה'!$B$4,$A16,-'תכנון פרישה'!$K$6*12)+'תכנון פרישה'!$B$6*(1+'תכנון פרישה'!$B$4)^$A16</f>
        <v>1271113.23</v>
      </c>
    </row>
    <row r="17">
      <c r="A17" s="57">
        <v>15.0</v>
      </c>
      <c r="B17" s="58">
        <f>fv('תכנון פרישה'!$B$4,$A17,-'תכנון פרישה'!$K$5*12)+'תכנון פרישה'!$B$5*(1+'תכנון פרישה'!$B$4)^$A17</f>
        <v>959123.1341</v>
      </c>
      <c r="C17" s="58">
        <f>fv('תכנון פרישה'!$B$4,$A17,-'תכנון פרישה'!$K$6*12)+'תכנון פרישה'!$B$6*(1+'תכנון פרישה'!$B$4)^$A17</f>
        <v>1389423.738</v>
      </c>
    </row>
    <row r="18">
      <c r="A18" s="59">
        <v>16.0</v>
      </c>
      <c r="B18" s="58">
        <f>fv('תכנון פרישה'!$B$4,$A18,-'תכנון פרישה'!$K$5*12)+'תכנון פרישה'!$B$5*(1+'תכנון פרישה'!$B$4)^$A18</f>
        <v>1044783.291</v>
      </c>
      <c r="C18" s="58">
        <f>fv('תכנון פרישה'!$B$4,$A18,-'תכנון פרישה'!$K$6*12)+'תכנון פרישה'!$B$6*(1+'תכנון פרישה'!$B$4)^$A18</f>
        <v>1513649.77</v>
      </c>
    </row>
    <row r="19">
      <c r="A19" s="57">
        <v>17.0</v>
      </c>
    </row>
    <row r="20">
      <c r="A20" s="59">
        <v>18.0</v>
      </c>
    </row>
    <row r="21">
      <c r="A21" s="57">
        <v>19.0</v>
      </c>
    </row>
    <row r="22">
      <c r="A22" s="59">
        <v>20.0</v>
      </c>
    </row>
    <row r="23">
      <c r="A23" s="57">
        <v>21.0</v>
      </c>
    </row>
  </sheetData>
  <drawing r:id="rId1"/>
</worksheet>
</file>